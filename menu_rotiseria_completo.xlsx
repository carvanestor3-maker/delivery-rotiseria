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ú Complet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<sst xmlns="http://schemas.openxmlformats.org/spreadsheetml/2006/main" count="549" uniqueCount="361">
  <si>
    <t xml:space="preserve">Fecha Creación</t>
  </si>
  <si>
    <t xml:space="preserve">Rubro / Categoría</t>
  </si>
  <si>
    <t xml:space="preserve">Nombre del Plato</t>
  </si>
  <si>
    <t xml:space="preserve">Descripción</t>
  </si>
  <si>
    <t xml:space="preserve">★ PRECIO FINAL ($ARS)</t>
  </si>
  <si>
    <t xml:space="preserve">Descuento Aplicado (%)</t>
  </si>
  <si>
    <t xml:space="preserve">Precio Lista Orig.</t>
  </si>
  <si>
    <t xml:space="preserve">Foto del Plato (URL)</t>
  </si>
  <si>
    <t xml:space="preserve">Video de Preparación (URL)</t>
  </si>
  <si>
    <t xml:space="preserve">29/08/2026</t>
  </si>
  <si>
    <t xml:space="preserve">🍕 Pizzas</t>
  </si>
  <si>
    <t xml:space="preserve">Pizza Muzzarella Especial (Grande)</t>
  </si>
  <si>
    <t xml:space="preserve">Salsa de tomate casera, 300g muzzarella, aceitunas y orégano.</t>
  </si>
  <si>
    <t xml:space="preserve">https://images.unsplash.com/photo-1513104890138-7c749659a591?w=500</t>
  </si>
  <si>
    <t xml:space="preserve">https://www.youtube.com/watch?v=UoYmgMO-ZZE</t>
  </si>
  <si>
    <t xml:space="preserve">Pizza Napolitana (Grande)</t>
  </si>
  <si>
    <t xml:space="preserve">Muzzarella, tomate en rodajas, ajo y albahaca fresca.</t>
  </si>
  <si>
    <t xml:space="preserve">https://images.unsplash.com/photo-1574071318508-1cdbab80d002?w=500</t>
  </si>
  <si>
    <t xml:space="preserve">https://www.youtube.com/watch?v=l3KJZ8smGIE</t>
  </si>
  <si>
    <t xml:space="preserve">Pizza Fugazzeta Rellena (Grande)</t>
  </si>
  <si>
    <t xml:space="preserve">Doble masa rellena de muzzarella y cebolla caramelizada encima.</t>
  </si>
  <si>
    <t xml:space="preserve">https://images.unsplash.com/photo-1565299624946-b28f40a0ae38?w=500</t>
  </si>
  <si>
    <t xml:space="preserve">https://www.youtube.com/watch?v=mGjx1KpRxM4</t>
  </si>
  <si>
    <t xml:space="preserve">Pizza Calabresa con Pimiento (Grande)</t>
  </si>
  <si>
    <t xml:space="preserve">Salami calabresa, morrón rojo y verde, aceitunas negras.</t>
  </si>
  <si>
    <t xml:space="preserve">https://images.unsplash.com/photo-1534308983496-4fabb1a015ee?w=500</t>
  </si>
  <si>
    <t xml:space="preserve">https://www.youtube.com/watch?v=G-XZhKOKBJ0</t>
  </si>
  <si>
    <t xml:space="preserve">Pizza Cuatro Quesos (Grande)</t>
  </si>
  <si>
    <t xml:space="preserve">Muzzarella, roquefort, parmesano y provolone gratinados.</t>
  </si>
  <si>
    <t xml:space="preserve">https://images.unsplash.com/photo-1528137871618-79d2761e3fd5?w=500</t>
  </si>
  <si>
    <t xml:space="preserve">https://www.youtube.com/watch?v=8g_WXWF3HoE</t>
  </si>
  <si>
    <t xml:space="preserve">Pizza Especial (Jamón, Morrón y Huevo)</t>
  </si>
  <si>
    <t xml:space="preserve">Jamón cocido, morrón asado, huevo, muzzarella y salsa.</t>
  </si>
  <si>
    <t xml:space="preserve">https://images.unsplash.com/photo-1590947132387-155cc02f3212?w=500</t>
  </si>
  <si>
    <t xml:space="preserve">https://www.youtube.com/watch?v=W5hBVUFlwAY</t>
  </si>
  <si>
    <t xml:space="preserve">Pizza Pollo &amp; BBQ (Grande)</t>
  </si>
  <si>
    <t xml:space="preserve">Pollo desmenuzado, salsa BBQ ahumada, cebolla morada y muzzarella.</t>
  </si>
  <si>
    <t xml:space="preserve">https://images.unsplash.com/photo-1601924582970-9238bcb495d6?w=500</t>
  </si>
  <si>
    <t xml:space="preserve">https://www.youtube.com/watch?v=7_b2LRv1h68</t>
  </si>
  <si>
    <t xml:space="preserve">Pizza Verdura (Espinaca y Ricotta)</t>
  </si>
  <si>
    <t xml:space="preserve">Espinaca salteada, ricotta cremosa, ajo y muzzarella gratinada.</t>
  </si>
  <si>
    <t xml:space="preserve">https://images.unsplash.com/photo-1604917877934-07d8d248d396?w=500</t>
  </si>
  <si>
    <t xml:space="preserve">https://www.youtube.com/watch?v=3KZpRK7lBag</t>
  </si>
  <si>
    <t xml:space="preserve">Porción de Pizza (2 porciones)</t>
  </si>
  <si>
    <t xml:space="preserve">Porción doble de pizza del día (consultar disponibilidad).</t>
  </si>
  <si>
    <t xml:space="preserve">https://images.unsplash.com/photo-1571407970349-bc81e7e96d47?w=500</t>
  </si>
  <si>
    <t xml:space="preserve">https://www.youtube.com/results?search_query=pizza+porcion+argentina</t>
  </si>
  <si>
    <t xml:space="preserve">Fainá (Grande)</t>
  </si>
  <si>
    <t xml:space="preserve">Torta de harina de garbanzo al horno, dorada y crocante.</t>
  </si>
  <si>
    <t xml:space="preserve">https://images.unsplash.com/photo-1624374055843-f30d553e6b37?w=500</t>
  </si>
  <si>
    <t xml:space="preserve">https://www.youtube.com/watch?v=kOPgG_VpqHw</t>
  </si>
  <si>
    <t xml:space="preserve">🍔 Hamburguesas</t>
  </si>
  <si>
    <t xml:space="preserve">Hamburguesa Clásica con Papas fritas</t>
  </si>
  <si>
    <t xml:space="preserve">Medallón 150g, lechuga, tomate, cebolla, ketchup y mayonesa.</t>
  </si>
  <si>
    <t xml:space="preserve">https://images.unsplash.com/photo-1568901346375-23c9450c58cd?w=500</t>
  </si>
  <si>
    <t xml:space="preserve">https://www.youtube.com/watch?v=hRLqRzFRQXU</t>
  </si>
  <si>
    <t xml:space="preserve">Hamburguesa Doble con Cheddar &amp; Bacon con fritas</t>
  </si>
  <si>
    <t xml:space="preserve">Doble medallón 120g c/u, cheddar fundido, panceta crocante y salsa de la casa.</t>
  </si>
  <si>
    <t xml:space="preserve">https://images.unsplash.com/photo-1553979459-d2229ba7433b?w=500</t>
  </si>
  <si>
    <t xml:space="preserve">https://www.youtube.com/watch?v=7cfHbvw3GtY</t>
  </si>
  <si>
    <t xml:space="preserve">Hamburguesa BBQ Caramelizada con fritas</t>
  </si>
  <si>
    <t xml:space="preserve">Medallón 150g, cebolla caramelizada, salsa BBQ ahumada, cheddar y tomate</t>
  </si>
  <si>
    <t xml:space="preserve">https://images.unsplash.com/photo-1571091718767-18b5b1457add?w=500</t>
  </si>
  <si>
    <t xml:space="preserve">https://www.youtube.com/watch?v=Z_3kN6aBdNk</t>
  </si>
  <si>
    <t xml:space="preserve">Hamburguesa Crispy de Pollo con fritas</t>
  </si>
  <si>
    <t xml:space="preserve">Pechuga de pollo empanada crocante, lechuga, tomate y mayo de ajo.</t>
  </si>
  <si>
    <t xml:space="preserve">https://images.unsplash.com/photo-1562802378-063ec186a863?w=500</t>
  </si>
  <si>
    <t xml:space="preserve">https://www.youtube.com/watch?v=3AOJUuSGplI</t>
  </si>
  <si>
    <t xml:space="preserve">Hamburguesa Especial de la casa con fritas</t>
  </si>
  <si>
    <t xml:space="preserve">Medallón 150g, huevo frito, jamón cocido, queso, lechuga tomate y condimentos.</t>
  </si>
  <si>
    <t xml:space="preserve">https://images.unsplash.com/photo-1551782450-a2132b4ba21d?w=500</t>
  </si>
  <si>
    <t xml:space="preserve">https://www.youtube.com/results?search_query=hamburguesa+con+huevo+receta</t>
  </si>
  <si>
    <t xml:space="preserve">Hamburguesa Triple Especial de la Casa con fritas</t>
  </si>
  <si>
    <t xml:space="preserve">Triple medallón 100g c/u, cheddar, bacon, cebolla crispy, salsa especial y tomates</t>
  </si>
  <si>
    <t xml:space="preserve">https://images.unsplash.com/photo-1607013251379-e6eecfffe234?w=500</t>
  </si>
  <si>
    <t xml:space="preserve">https://www.youtube.com/watch?v=PBj0e0s3tFg</t>
  </si>
  <si>
    <t xml:space="preserve">🥩 Sándwiches de Lomo</t>
  </si>
  <si>
    <t xml:space="preserve">Lomito Completo al Pan con fritas</t>
  </si>
  <si>
    <t xml:space="preserve">Lomo vacuno tierno, lechuga, tomate, jamón, queso, huevo frito y papas.</t>
  </si>
  <si>
    <t xml:space="preserve">https://images.unsplash.com/photo-1481070555726-e2fe8357725c?w=500</t>
  </si>
  <si>
    <t xml:space="preserve">https://www.youtube.com/watch?v=FP0X6IQoRwE</t>
  </si>
  <si>
    <t xml:space="preserve">Lomito Napolitano con fritas</t>
  </si>
  <si>
    <t xml:space="preserve">Lomo al pan con salsa de tomate, muzzarella gratinada y orégano </t>
  </si>
  <si>
    <t xml:space="preserve">https://images.unsplash.com/photo-1600891964092-4316c288032e?w=500</t>
  </si>
  <si>
    <t xml:space="preserve">https://www.youtube.com/results?search_query=lomito+napolitano+receta</t>
  </si>
  <si>
    <t xml:space="preserve">Lomito al Verdeo con Champiñones</t>
  </si>
  <si>
    <t xml:space="preserve">Lomo vacuno con salsa de cebollita de verdeo, champiñones salteados y queso.</t>
  </si>
  <si>
    <t xml:space="preserve">https://images.unsplash.com/photo-1504674900247-0877df9cc836?w=500</t>
  </si>
  <si>
    <t xml:space="preserve">https://www.youtube.com/results?search_query=lomito+verdeo+champinones</t>
  </si>
  <si>
    <t xml:space="preserve">Lomito Especial con Panceta y Cheddar</t>
  </si>
  <si>
    <t xml:space="preserve">Lomo, panceta crocante, queso cheddar, cebolla crispy y BBQ.</t>
  </si>
  <si>
    <t xml:space="preserve">https://images.unsplash.com/photo-1555939594-58d7cb561ad1?w=500</t>
  </si>
  <si>
    <t xml:space="preserve">https://www.youtube.com/results?search_query=lomito+especial+argentina</t>
  </si>
  <si>
    <t xml:space="preserve">🥩 Sándwiches de Milanesa</t>
  </si>
  <si>
    <t xml:space="preserve">Sándwich de Milanesa de Carne Vacuna Completo</t>
  </si>
  <si>
    <t xml:space="preserve">Milanesa de carne, lechuga, tomate, jamón, queso y huevo frito.</t>
  </si>
  <si>
    <t xml:space="preserve">https://images.unsplash.com/photo-1550547660-d9450f859349?w=500</t>
  </si>
  <si>
    <t xml:space="preserve">Sándwich de Milanesa de Pollo Completo</t>
  </si>
  <si>
    <t xml:space="preserve">Milanesa de muslo de pollo, huevo frito, lechuga, tomate, mayo de ajo y queso.</t>
  </si>
  <si>
    <t xml:space="preserve">https://images.unsplash.com/photo-1606755962773-d324e0a13086?w=500</t>
  </si>
  <si>
    <t xml:space="preserve">https://www.youtube.com/results?search_query=sanduche+milanesa+pollo+receta</t>
  </si>
  <si>
    <t xml:space="preserve">Sándwich de Milanesa de Cerdo Completo</t>
  </si>
  <si>
    <t xml:space="preserve">Milanesa de cerdo jugosa, lechuga, tomate, mostaza, queso y huevo</t>
  </si>
  <si>
    <t xml:space="preserve">https://images.unsplash.com/photo-1432139555190-58524dae6a55?w=500</t>
  </si>
  <si>
    <t xml:space="preserve">https://www.youtube.com/results?search_query=milanesa+cerdo+sanduche</t>
  </si>
  <si>
    <t xml:space="preserve">Sándwich de Milanesa Napolitana</t>
  </si>
  <si>
    <t xml:space="preserve">Milanesa al pan con salsa de tomate, jamón, muzzarella y orégano.</t>
  </si>
  <si>
    <t xml:space="preserve">https://images.unsplash.com/photo-1544025162-d76694265947?w=500</t>
  </si>
  <si>
    <t xml:space="preserve">https://www.youtube.com/watch?v=E_QQQeHa0tg</t>
  </si>
  <si>
    <t xml:space="preserve">🍳 Minutas</t>
  </si>
  <si>
    <t xml:space="preserve">Milanesa de Carne Vacuna con Papas Fritas</t>
  </si>
  <si>
    <t xml:space="preserve">Milanesa grande de nalga rebozada, papas fritas crocantes.</t>
  </si>
  <si>
    <t xml:space="preserve">https://www.youtube.com/watch?v=PgWy1Ylh5Us</t>
  </si>
  <si>
    <t xml:space="preserve">Milanesa de Carne Vacuna a Caballo con Papas Fritas</t>
  </si>
  <si>
    <t xml:space="preserve">Milanesa de carne con dos huevos fritos encima y papas fritas.</t>
  </si>
  <si>
    <t xml:space="preserve">https://images.unsplash.com/photo-1559847844-5315695dadae?w=500</t>
  </si>
  <si>
    <t xml:space="preserve">https://www.youtube.com/watch?v=EH0WLBJSwKo</t>
  </si>
  <si>
    <t xml:space="preserve">Milanesa Napolitana con Papas Fritas</t>
  </si>
  <si>
    <t xml:space="preserve">Milanesa cubierta con salsa de tomate, jamón, muzzarella, orégano y Papas Fritas</t>
  </si>
  <si>
    <t xml:space="preserve">https://images.unsplash.com/photo-1567620832903-9fc6debc209f?w=500</t>
  </si>
  <si>
    <t xml:space="preserve">Milanesa de Pollo con Papas Fritas</t>
  </si>
  <si>
    <t xml:space="preserve">Pechuga de pollo empanada, papas fritas y ensalada mixta.</t>
  </si>
  <si>
    <t xml:space="preserve">https://images.unsplash.com/photo-1619221882220-947b3d3c8861?w=500</t>
  </si>
  <si>
    <t xml:space="preserve">https://www.youtube.com/results?search_query=milanesa+pollo+papas+fritas</t>
  </si>
  <si>
    <t xml:space="preserve">Milanesa de Cerdo con Papas Fritas</t>
  </si>
  <si>
    <t xml:space="preserve">Milanesa de cerdo dorada, papas fritas y limón.</t>
  </si>
  <si>
    <t xml:space="preserve">https://images.unsplash.com/photo-1580476262798-bddd9f4b7369?w=500</t>
  </si>
  <si>
    <t xml:space="preserve">https://www.youtube.com/results?search_query=milanesa+cerdo+papas</t>
  </si>
  <si>
    <t xml:space="preserve">Bife de Lomo a la Plancha con Papas</t>
  </si>
  <si>
    <t xml:space="preserve">Bife de lomo vacuno a la plancha jugoso, papas fritas y ensalada.</t>
  </si>
  <si>
    <t xml:space="preserve">https://images.unsplash.com/photo-1529694157872-4e0c0f3b238b?w=500</t>
  </si>
  <si>
    <t xml:space="preserve">https://www.youtube.com/results?search_query=bife+lomo+plancha+argentina</t>
  </si>
  <si>
    <t xml:space="preserve">Bife de Chorizo con Papas y Ensalada</t>
  </si>
  <si>
    <t xml:space="preserve">Bife de chorizo tierno a la plancha, papas fritas y ensalada completa.</t>
  </si>
  <si>
    <t xml:space="preserve">https://images.unsplash.com/photo-1594041680534-e8c8cdebd659?w=500</t>
  </si>
  <si>
    <t xml:space="preserve">https://www.youtube.com/results?search_query=bife+chorizo+plancha</t>
  </si>
  <si>
    <t xml:space="preserve">Revuelto Gramajo</t>
  </si>
  <si>
    <t xml:space="preserve">Huevos revueltos con papas paja crocantes, jamón y arvejas.</t>
  </si>
  <si>
    <t xml:space="preserve">https://images.unsplash.com/photo-1525351484163-7529414344d8?w=500</t>
  </si>
  <si>
    <t xml:space="preserve">https://www.youtube.com/watch?v=AigjjS0NLGI</t>
  </si>
  <si>
    <t xml:space="preserve">🥟 Empanadas</t>
  </si>
  <si>
    <t xml:space="preserve">Empanada de Carne Cortada a Cuchillo</t>
  </si>
  <si>
    <t xml:space="preserve">Carne vacuna picada a cuchillo, cebolla, huevo duro y aceitunas.</t>
  </si>
  <si>
    <t xml:space="preserve">https://images.unsplash.com/photo-1626777552726-4a6b54c97e46?w=500</t>
  </si>
  <si>
    <t xml:space="preserve">https://www.youtube.com/watch?v=hGkbgJFH0qA</t>
  </si>
  <si>
    <t xml:space="preserve">Empanada de Carne Molida Vacuna (Huevo, Morrón y Cebolla)</t>
  </si>
  <si>
    <t xml:space="preserve">Carne molida vacuna, cebolla, morrón, huevo duro y condimentos.</t>
  </si>
  <si>
    <t xml:space="preserve">Empanada de Pollo con Verduras</t>
  </si>
  <si>
    <t xml:space="preserve">Pollo desmenuzado con cebolla, morrón, aceitunas y especias.</t>
  </si>
  <si>
    <t xml:space="preserve">https://images.unsplash.com/photo-1607198179219-d0b74484b2de?w=500</t>
  </si>
  <si>
    <t xml:space="preserve">https://www.youtube.com/watch?v=cxK4VCfOBV4</t>
  </si>
  <si>
    <t xml:space="preserve">Empanada de Bondiolita de Cerdo</t>
  </si>
  <si>
    <t xml:space="preserve">Bondiolita de cerdo desmenuzada, cebolla y especias criollas.</t>
  </si>
  <si>
    <t xml:space="preserve">https://images.unsplash.com/photo-1571167530149-c1105da4c2c0?w=500</t>
  </si>
  <si>
    <t xml:space="preserve">https://www.youtube.com/results?search_query=empanada+bondiolita+cerdo</t>
  </si>
  <si>
    <t xml:space="preserve">Empanada de Jamón y Queso</t>
  </si>
  <si>
    <t xml:space="preserve">Jamón cocido seleccionado y queso tirante cremoso.</t>
  </si>
  <si>
    <t xml:space="preserve">https://www.youtube.com/results?search_query=empanada+jamon+queso+receta</t>
  </si>
  <si>
    <t xml:space="preserve">Empanada Caprese (Tomate y Mozzarella)</t>
  </si>
  <si>
    <t xml:space="preserve">Tomate fresco, muzzarella, albahaca y aceite de oliva.</t>
  </si>
  <si>
    <t xml:space="preserve">https://images.unsplash.com/photo-1576107232684-1279f3908594?w=500</t>
  </si>
  <si>
    <t xml:space="preserve">https://www.youtube.com/results?search_query=empanada+caprese+italiana</t>
  </si>
  <si>
    <t xml:space="preserve">Empanada de Roquefort y Cebolla</t>
  </si>
  <si>
    <t xml:space="preserve">Queso roquefort cremoso con cebolla caramelizada.</t>
  </si>
  <si>
    <t xml:space="preserve">https://images.unsplash.com/photo-1603360946369-dc9bb6258143?w=500</t>
  </si>
  <si>
    <t xml:space="preserve">https://www.youtube.com/results?search_query=empanada+roquefort+cebolla</t>
  </si>
  <si>
    <t xml:space="preserve">Empanada de Choclo y Queso</t>
  </si>
  <si>
    <t xml:space="preserve">Choclo cremoso, queso fresco y una pizca de azúcar.</t>
  </si>
  <si>
    <t xml:space="preserve">https://images.unsplash.com/photo-1608039829572-78524f79c4c7?w=500</t>
  </si>
  <si>
    <t xml:space="preserve">https://www.youtube.com/results?search_query=empanada+choclo+queso</t>
  </si>
  <si>
    <t xml:space="preserve">Empanada de Verdura (Espinaca y Ricotta)</t>
  </si>
  <si>
    <t xml:space="preserve">Espinaca salteada, ricotta, nuez moscada y queso rallado.</t>
  </si>
  <si>
    <t xml:space="preserve">https://images.unsplash.com/photo-1565299585323-38d6b0865b47?w=500</t>
  </si>
  <si>
    <t xml:space="preserve">https://www.youtube.com/results?search_query=empanada+espinaca+ricotta</t>
  </si>
  <si>
    <t xml:space="preserve">Empanada de Humita</t>
  </si>
  <si>
    <t xml:space="preserve">Maíz cremoso tradicional con leche, cebolla y queso.</t>
  </si>
  <si>
    <t xml:space="preserve">Empanada de Atún</t>
  </si>
  <si>
    <t xml:space="preserve">Atún en aceite, cebolla, aceitunas y huevo duro.</t>
  </si>
  <si>
    <t xml:space="preserve">https://images.unsplash.com/photo-1563612116625-3012372fccce?w=500</t>
  </si>
  <si>
    <t xml:space="preserve">https://www.youtube.com/results?search_query=empanada+atun+receta</t>
  </si>
  <si>
    <t xml:space="preserve">Docena de Empanadas Mixtas</t>
  </si>
  <si>
    <t xml:space="preserve">Docena de empanadas a elección (carne, pollo, jamón y queso, etc.).</t>
  </si>
  <si>
    <t xml:space="preserve">https://www.youtube.com/results?search_query=empanadas+surtidas+argentina</t>
  </si>
  <si>
    <t xml:space="preserve">🥗 Guarniciones y Porciones</t>
  </si>
  <si>
    <t xml:space="preserve">Porción de Papas Fritas Simples</t>
  </si>
  <si>
    <t xml:space="preserve">Papas frescas cortadas y fritas en aceite de girasol, con sal.</t>
  </si>
  <si>
    <t xml:space="preserve">https://www.youtube.com/results?search_query=papas+fritas+perfectas+receta</t>
  </si>
  <si>
    <t xml:space="preserve">Porción de Papas Fritas Cheddar &amp; Bacon</t>
  </si>
  <si>
    <t xml:space="preserve">Papas crocantes bañadas en salsa cheddar caliente y panceta crocante.</t>
  </si>
  <si>
    <t xml:space="preserve">https://www.youtube.com/results?search_query=papas+loaded+cheddar+bacon</t>
  </si>
  <si>
    <t xml:space="preserve">Papas Rústicas al Horno con Hierbas</t>
  </si>
  <si>
    <t xml:space="preserve">Papas en gajos con romero, ajo, pimentón y aceite de oliva.</t>
  </si>
  <si>
    <t xml:space="preserve">https://images.unsplash.com/photo-1518013431117-eb1465fa5752?w=500</t>
  </si>
  <si>
    <t xml:space="preserve">https://www.youtube.com/results?search_query=papas+rusticas+horno</t>
  </si>
  <si>
    <t xml:space="preserve">Puré de Papas Cremoso</t>
  </si>
  <si>
    <t xml:space="preserve">Puré casero con manteca, leche caliente y nuez moscada.</t>
  </si>
  <si>
    <t xml:space="preserve">https://images.unsplash.com/photo-1574484284002-952d92456975?w=500</t>
  </si>
  <si>
    <t xml:space="preserve">https://www.youtube.com/results?search_query=pure+papas+cremoso+receta</t>
  </si>
  <si>
    <t xml:space="preserve">Ensalada Mixta (Lechuga y Tomate)</t>
  </si>
  <si>
    <t xml:space="preserve">Lechuga, tomate, cebolla morada y aderezo a elección.</t>
  </si>
  <si>
    <t xml:space="preserve">https://images.unsplash.com/photo-1512621776951-a57141f2eefd?w=500</t>
  </si>
  <si>
    <t xml:space="preserve">https://www.youtube.com/results?search_query=ensalada+mixta+basica</t>
  </si>
  <si>
    <t xml:space="preserve">Ensalada Completa del Chef</t>
  </si>
  <si>
    <t xml:space="preserve">Lechuga, tomate, zanahoria, huevo duro, aceitunas y choclo.</t>
  </si>
  <si>
    <t xml:space="preserve">https://images.unsplash.com/photo-1540420773420-3366772f4999?w=500</t>
  </si>
  <si>
    <t xml:space="preserve">https://www.youtube.com/results?search_query=ensalada+completa+chef</t>
  </si>
  <si>
    <t xml:space="preserve">Arroz Blanco Mantequillado</t>
  </si>
  <si>
    <t xml:space="preserve">Arroz largo fino, manteca, sal y hierbas frescas.</t>
  </si>
  <si>
    <t xml:space="preserve">https://images.unsplash.com/photo-1586201375761-83865001e31c?w=500</t>
  </si>
  <si>
    <t xml:space="preserve">https://www.youtube.com/results?search_query=arroz+blanco+perfecto</t>
  </si>
  <si>
    <t xml:space="preserve">🥪 Sándwiches Especiales / Pan de Miga</t>
  </si>
  <si>
    <t xml:space="preserve">Tostado Mixto Jamón y Queso (Pan de Miga)</t>
  </si>
  <si>
    <t xml:space="preserve">Pan de miga tostado, jamón cocido y queso cremoso derretido.</t>
  </si>
  <si>
    <t xml:space="preserve">https://images.unsplash.com/photo-1528735602780-2552fd46c7af?w=500</t>
  </si>
  <si>
    <t xml:space="preserve">https://www.youtube.com/results?search_query=tostado+miga+jamon+queso</t>
  </si>
  <si>
    <t xml:space="preserve">Sándwich Triple de Pan de Miga</t>
  </si>
  <si>
    <t xml:space="preserve">Triple de jamón, queso, tomate, lechuga y huevo duro en pan de miga.</t>
  </si>
  <si>
    <t xml:space="preserve">https://images.unsplash.com/photo-1622542796254-5b9c46ab0d2f?w=500</t>
  </si>
  <si>
    <t xml:space="preserve">https://www.youtube.com/results?search_query=sandwich+triple+miga</t>
  </si>
  <si>
    <t xml:space="preserve">Club Sándwich de Pollo</t>
  </si>
  <si>
    <t xml:space="preserve">Pollo a la plancha, bacon, lechuga, tomate, queso y mayo.</t>
  </si>
  <si>
    <t xml:space="preserve">https://images.unsplash.com/photo-1567234669003-dce7a7a88821?w=500</t>
  </si>
  <si>
    <t xml:space="preserve">https://www.youtube.com/watch?v=kWEJCA5b3-E</t>
  </si>
  <si>
    <t xml:space="preserve">Medialunas con Jamón y Queso (x2)</t>
  </si>
  <si>
    <t xml:space="preserve">Dos medialunas de manteca rellenas con jamón y queso brie.</t>
  </si>
  <si>
    <t xml:space="preserve">https://images.unsplash.com/photo-1555507036-ab1f4038808a?w=500</t>
  </si>
  <si>
    <t xml:space="preserve">https://www.youtube.com/results?search_query=medialunas+jamon+queso</t>
  </si>
  <si>
    <t xml:space="preserve">Sándwich Enrollado de Pan de Miga</t>
  </si>
  <si>
    <t xml:space="preserve">Pan de miga enrollado con queso crema, jamón, lechuga y zanahoria.</t>
  </si>
  <si>
    <t xml:space="preserve">https://images.unsplash.com/photo-1556909114-f6e7ad7d3136?w=500</t>
  </si>
  <si>
    <t xml:space="preserve">https://www.youtube.com/results?search_query=sandwich+enrollado+miga</t>
  </si>
  <si>
    <t xml:space="preserve">☕ Cafetería</t>
  </si>
  <si>
    <t xml:space="preserve">Café Espresso</t>
  </si>
  <si>
    <t xml:space="preserve">Café espresso intenso servido en taza pequeña.</t>
  </si>
  <si>
    <t xml:space="preserve">https://images.unsplash.com/photo-1510707577719-ae7c14805e3a?w=500</t>
  </si>
  <si>
    <t xml:space="preserve">https://www.youtube.com/watch?v=xHrc-BQwHOo</t>
  </si>
  <si>
    <t xml:space="preserve">Café con Leche</t>
  </si>
  <si>
    <t xml:space="preserve">Espresso con leche caliente o fría al gusto (250cc).</t>
  </si>
  <si>
    <t xml:space="preserve">https://images.unsplash.com/photo-1551030173-122aabc4489c?w=500</t>
  </si>
  <si>
    <t xml:space="preserve">https://www.youtube.com/results?search_query=cafe+con+leche+perfecto</t>
  </si>
  <si>
    <t xml:space="preserve">Cortado</t>
  </si>
  <si>
    <t xml:space="preserve">Espresso con un toque de leche caliente vaporizada.</t>
  </si>
  <si>
    <t xml:space="preserve">https://images.unsplash.com/photo-1515442261605-65987783cb6a?w=500</t>
  </si>
  <si>
    <t xml:space="preserve">https://www.youtube.com/results?search_query=cortado+cafe+receta</t>
  </si>
  <si>
    <t xml:space="preserve">Capuchino</t>
  </si>
  <si>
    <t xml:space="preserve">Espresso, leche vaporizada y espuma de leche cremosa.</t>
  </si>
  <si>
    <t xml:space="preserve">https://images.unsplash.com/photo-1534778101976-62847782c213?w=500</t>
  </si>
  <si>
    <t xml:space="preserve">https://www.youtube.com/watch?v=9f8mOfkFzQM</t>
  </si>
  <si>
    <t xml:space="preserve">Té (Limón, Menta o Frutos Rojos)</t>
  </si>
  <si>
    <t xml:space="preserve">Té en saquito a elección servido con limón o leche.</t>
  </si>
  <si>
    <t xml:space="preserve">https://images.unsplash.com/photo-1556679343-c7306c1976bc?w=500</t>
  </si>
  <si>
    <t xml:space="preserve">https://www.youtube.com/results?search_query=te+infusion+preparacion</t>
  </si>
  <si>
    <t xml:space="preserve">Mate Cocido con Leche</t>
  </si>
  <si>
    <t xml:space="preserve">Mate cocido tradicional con leche caliente y azúcar.</t>
  </si>
  <si>
    <t xml:space="preserve">https://images.unsplash.com/photo-1590301157890-4810ed352733?w=500</t>
  </si>
  <si>
    <t xml:space="preserve">https://www.youtube.com/results?search_query=mate+cocido+leche</t>
  </si>
  <si>
    <t xml:space="preserve">Chocolate Caliente</t>
  </si>
  <si>
    <t xml:space="preserve">Chocolate artesanal espeso servido con crema y cacao en polvo.</t>
  </si>
  <si>
    <t xml:space="preserve">https://images.unsplash.com/photo-1542990253-0d0f5be5f0ed?w=500</t>
  </si>
  <si>
    <t xml:space="preserve">https://www.youtube.com/results?search_query=chocolate+caliente+espeso</t>
  </si>
  <si>
    <t xml:space="preserve">Café Americano (Grande)</t>
  </si>
  <si>
    <t xml:space="preserve">Espresso alargado con agua caliente (300cc), suave y aromático.</t>
  </si>
  <si>
    <t xml:space="preserve">https://images.unsplash.com/photo-1497515114629-f71d768fd07c?w=500</t>
  </si>
  <si>
    <t xml:space="preserve">https://www.youtube.com/results?search_query=cafe+americano+preparacion</t>
  </si>
  <si>
    <t xml:space="preserve">🫔 Combos Cafetería</t>
  </si>
  <si>
    <t xml:space="preserve">Combo: Café + Chipá (x2)</t>
  </si>
  <si>
    <t xml:space="preserve">Café espresso o con leche acompañado de 2 chipás calientes.</t>
  </si>
  <si>
    <t xml:space="preserve">https://images.unsplash.com/photo-1558961363-fa8fdf82db35?w=500</t>
  </si>
  <si>
    <t xml:space="preserve">https://www.youtube.com/results?search_query=chipa+cafe+desayuno+misionero</t>
  </si>
  <si>
    <t xml:space="preserve">Combo: Café + Factura (Medialuna)</t>
  </si>
  <si>
    <t xml:space="preserve">Café a elección con medialuna de manteca o grasa.</t>
  </si>
  <si>
    <t xml:space="preserve">https://images.unsplash.com/photo-1509440159596-0249088772ff?w=500</t>
  </si>
  <si>
    <t xml:space="preserve">https://www.youtube.com/results?search_query=medialunas+manteca+argentina</t>
  </si>
  <si>
    <t xml:space="preserve">Combo: Café con Leche + Tostado</t>
  </si>
  <si>
    <t xml:space="preserve">Café con leche grande y tostado mixto de jamón y queso.</t>
  </si>
  <si>
    <t xml:space="preserve">https://images.unsplash.com/photo-1495474472287-4d71bcdd2085?w=500</t>
  </si>
  <si>
    <t xml:space="preserve">https://www.youtube.com/results?search_query=desayuno+cafe+tostado+argentina</t>
  </si>
  <si>
    <t xml:space="preserve">Combo: Té + Chipás (x3)</t>
  </si>
  <si>
    <t xml:space="preserve">Té a elección con tres chipás recién salidos del horno.</t>
  </si>
  <si>
    <t xml:space="preserve">https://www.youtube.com/results?search_query=chipa+te+merienda</t>
  </si>
  <si>
    <t xml:space="preserve">Combo: Capuchino + Croissant de Manteca</t>
  </si>
  <si>
    <t xml:space="preserve">Capuchino cremoso con croissant de manteca artesanal.</t>
  </si>
  <si>
    <t xml:space="preserve">https://www.youtube.com/results?search_query=capuchino+croissant+desayuno</t>
  </si>
  <si>
    <t xml:space="preserve">🧇 Chipás y Panificados</t>
  </si>
  <si>
    <t xml:space="preserve">Chipá (Unidad)</t>
  </si>
  <si>
    <t xml:space="preserve">Rosquita de harina de mandioca y queso, recién horneada.</t>
  </si>
  <si>
    <t xml:space="preserve">https://www.youtube.com/watch?v=AvV5UhMTLMY</t>
  </si>
  <si>
    <t xml:space="preserve">Chipás (Docena)</t>
  </si>
  <si>
    <t xml:space="preserve">Docena de chipás artesanales de queso, recién horneadas.</t>
  </si>
  <si>
    <t xml:space="preserve">Medialuna de Manteca</t>
  </si>
  <si>
    <t xml:space="preserve">Medialuna artesanal de manteca, dorada y hojaldrada.</t>
  </si>
  <si>
    <t xml:space="preserve">https://www.youtube.com/watch?v=A_tLLv1GKKU</t>
  </si>
  <si>
    <t xml:space="preserve">Medialuna de Grasa</t>
  </si>
  <si>
    <t xml:space="preserve">Medialuna de grasa tradicional, suave y sabrosa.</t>
  </si>
  <si>
    <t xml:space="preserve">https://www.youtube.com/results?search_query=medialunas+grasa+argentina</t>
  </si>
  <si>
    <t xml:space="preserve">Facturas Variadas (x3)</t>
  </si>
  <si>
    <t xml:space="preserve">Tres facturas a elección: vigilante, bomba, berlinesa o cañón.</t>
  </si>
  <si>
    <t xml:space="preserve">https://www.youtube.com/results?search_query=facturas+argentinas+panaderia</t>
  </si>
  <si>
    <t xml:space="preserve">Croissant de Manteca con Mermelada</t>
  </si>
  <si>
    <t xml:space="preserve">Croissant artesanal de manteca servido con mermelada de ciruela.</t>
  </si>
  <si>
    <t xml:space="preserve">https://www.youtube.com/results?search_query=croissant+manteca+casero</t>
  </si>
  <si>
    <t xml:space="preserve">🥤 Licuados</t>
  </si>
  <si>
    <t xml:space="preserve">Licuado de Banana (500cc)</t>
  </si>
  <si>
    <t xml:space="preserve">Banana fresca, leche entera, azúcar y una pizca de vainilla.</t>
  </si>
  <si>
    <t xml:space="preserve">https://images.unsplash.com/photo-1553530666-ba11a7da3888?w=500</t>
  </si>
  <si>
    <t xml:space="preserve">https://www.youtube.com/results?search_query=licuado+banana+leche+casero</t>
  </si>
  <si>
    <t xml:space="preserve">Licuado de Frutilla (500cc)</t>
  </si>
  <si>
    <t xml:space="preserve">Frutillas frescas de temporada, leche y azúcar al gusto.</t>
  </si>
  <si>
    <t xml:space="preserve">https://www.youtube.com/results?search_query=licuado+frutilla+casero</t>
  </si>
  <si>
    <t xml:space="preserve">Licuado de Mango y Maracuyá (500cc)</t>
  </si>
  <si>
    <t xml:space="preserve">Mango maduro con maracuyá, leche y jugo de naranja.</t>
  </si>
  <si>
    <t xml:space="preserve">https://images.unsplash.com/photo-1622597467836-f3e6a1bf90fd?w=500</t>
  </si>
  <si>
    <t xml:space="preserve">https://www.youtube.com/results?search_query=licuado+mango+maracuya</t>
  </si>
  <si>
    <t xml:space="preserve">Licuado de Durazno (500cc)</t>
  </si>
  <si>
    <t xml:space="preserve">Durazno en almíbar o fresco, leche y azúcar.</t>
  </si>
  <si>
    <t xml:space="preserve">https://images.unsplash.com/photo-1570696516188-ade861b84a49?w=500</t>
  </si>
  <si>
    <t xml:space="preserve">https://www.youtube.com/results?search_query=licuado+durazno+receta</t>
  </si>
  <si>
    <t xml:space="preserve">Licuado de Frutas Mixtas (500cc)</t>
  </si>
  <si>
    <t xml:space="preserve">Combinación de frutas de temporada, leche y miel.</t>
  </si>
  <si>
    <t xml:space="preserve">https://images.unsplash.com/photo-1610970881699-44a5587cabec?w=500</t>
  </si>
  <si>
    <t xml:space="preserve">https://www.youtube.com/results?search_query=licuado+frutas+mixtas</t>
  </si>
  <si>
    <t xml:space="preserve">🍺 Tragos y Bebidas</t>
  </si>
  <si>
    <t xml:space="preserve">Coca Cola 1.5L</t>
  </si>
  <si>
    <t xml:space="preserve">Botella 1.5 Litros bien fría.</t>
  </si>
  <si>
    <t xml:space="preserve">https://images.unsplash.com/photo-1622483767028-3f66f32aef97?w=500</t>
  </si>
  <si>
    <t xml:space="preserve">https://www.youtube.com/results?search_query=coca+cola+botella</t>
  </si>
  <si>
    <t xml:space="preserve">Coca Cola 500ml</t>
  </si>
  <si>
    <t xml:space="preserve">Botella personal 500ml bien fría.</t>
  </si>
  <si>
    <t xml:space="preserve">https://images.unsplash.com/photo-1559839914-17aae19cec71?w=500</t>
  </si>
  <si>
    <t xml:space="preserve">https://www.youtube.com/results?search_query=coca+cola+personal</t>
  </si>
  <si>
    <t xml:space="preserve">Agua Mineral sin Gas 500ml</t>
  </si>
  <si>
    <t xml:space="preserve">Agua mineral natural sin gas, bien fría.</t>
  </si>
  <si>
    <t xml:space="preserve">https://images.unsplash.com/photo-1548839140-29a749e1cf4d?w=500</t>
  </si>
  <si>
    <t xml:space="preserve">https://www.youtube.com/results?search_query=agua+mineral+natural</t>
  </si>
  <si>
    <t xml:space="preserve">Jugo de Naranja Natural (400cc)</t>
  </si>
  <si>
    <t xml:space="preserve">Naranjas exprimidas al momento, fresco y vitamínico.</t>
  </si>
  <si>
    <t xml:space="preserve">https://images.unsplash.com/photo-1613478223719-2ab802602423?w=500</t>
  </si>
  <si>
    <t xml:space="preserve">https://www.youtube.com/results?search_query=jugo+naranja+natural+exprimido</t>
  </si>
  <si>
    <t xml:space="preserve">Gaseosa Variada 500ml (Fanta/Sprite/7UP)</t>
  </si>
  <si>
    <t xml:space="preserve">Gaseosa en botella personal a elección, bien fría.</t>
  </si>
  <si>
    <t xml:space="preserve">https://www.youtube.com/results?search_query=gaseosa+variada+argentina</t>
  </si>
  <si>
    <t xml:space="preserve">Cerveza Lata 473ml</t>
  </si>
  <si>
    <t xml:space="preserve">Lata de cerveza rubia 473ml, bien fría.</t>
  </si>
  <si>
    <t xml:space="preserve">https://images.unsplash.com/photo-1608270586620-248524c67de9?w=500</t>
  </si>
  <si>
    <t xml:space="preserve">https://www.youtube.com/results?search_query=cerveza+lata+fria</t>
  </si>
  <si>
    <t xml:space="preserve">Cerveza Artesanal IPA 473ml</t>
  </si>
  <si>
    <t xml:space="preserve">Cerveza artesanal India Pale Ale, bien fría y aromática.</t>
  </si>
  <si>
    <t xml:space="preserve">https://images.unsplash.com/photo-1535958636474-b021ee887b13?w=500</t>
  </si>
  <si>
    <t xml:space="preserve">https://www.youtube.com/results?search_query=cerveza+artesanal+IPA</t>
  </si>
  <si>
    <t xml:space="preserve">Fernet con Coca (Copa)</t>
  </si>
  <si>
    <t xml:space="preserve">Fernet Branca con Coca Cola, hielo y rodaja de limón.</t>
  </si>
  <si>
    <t xml:space="preserve">https://images.unsplash.com/photo-1551538827-9c037cb4f32a?w=500</t>
  </si>
  <si>
    <t xml:space="preserve">https://www.youtube.com/results?search_query=fernet+con+coca+argentina</t>
  </si>
  <si>
    <t xml:space="preserve">Aperol Spritz</t>
  </si>
  <si>
    <t xml:space="preserve">Aperol, prosecco y agua con gas, servido con rodaja de naranja.</t>
  </si>
  <si>
    <t xml:space="preserve">https://images.unsplash.com/photo-1558642891-54be180ea339?w=500</t>
  </si>
  <si>
    <t xml:space="preserve">https://www.youtube.com/watch?v=1tBegk9YfnM</t>
  </si>
  <si>
    <t xml:space="preserve">Agua Tónica con Limón</t>
  </si>
  <si>
    <t xml:space="preserve">Agua tónica, jugo de limón fresco y hielo.</t>
  </si>
  <si>
    <t xml:space="preserve">https://images.unsplash.com/photo-1560508179-b2c9a3555b3e?w=500</t>
  </si>
  <si>
    <t xml:space="preserve">https://www.youtube.com/results?search_query=agua+tonica+limon+trago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</si>
</sst>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true" showOutlineSymbols="true" defaultGridColor="true" view="normal" topLeftCell="D4" colorId="64" zoomScale="100" zoomScaleNormal="100" zoomScalePageLayoutView="100" workbookViewId="0">
      <selection pane="topLeft" activeCell="F24" activeCellId="0" sqref="F24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6.84"/>
    <col collapsed="false" customWidth="true" hidden="false" outlineLevel="0" max="2" min="2" style="0" width="28.83"/>
    <col collapsed="false" customWidth="true" hidden="false" outlineLevel="0" max="3" min="3" style="0" width="35.57"/>
    <col collapsed="false" customWidth="true" hidden="false" outlineLevel="0" max="4" min="4" style="0" width="35.7"/>
    <col collapsed="false" customWidth="true" hidden="false" outlineLevel="0" max="6" min="5" style="0" width="14.84"/>
    <col collapsed="false" customWidth="true" hidden="false" outlineLevel="0" max="7" min="7" style="0" width="18.83"/>
    <col collapsed="false" customWidth="true" hidden="false" outlineLevel="0" max="9" min="8" style="0" width="70.8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A2" s="0" t="s">
        <v>9</v>
      </c>
      <c r="B2" s="0" t="s">
        <v>10</v>
      </c>
      <c r="C2" s="0" t="s">
        <v>11</v>
      </c>
      <c r="D2" s="0" t="s">
        <v>12</v>
      </c>
      <c r="E2" s="0" t="n">
        <f aca="false">+J2</f>
        <v>11200</v>
      </c>
      <c r="F2" s="0" t="n">
        <v>60</v>
      </c>
      <c r="G2" s="0" t="n">
        <v>28000</v>
      </c>
      <c r="H2" s="0" t="s">
        <v>13</v>
      </c>
      <c r="I2" s="0" t="s">
        <v>14</v>
      </c>
      <c r="J2" s="0" t="n">
        <f aca="false">+G2-((+F2*G2)/100)</f>
        <v>11200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15</v>
      </c>
      <c r="D3" s="0" t="s">
        <v>16</v>
      </c>
      <c r="E3" s="0" t="n">
        <f aca="false">+J3</f>
        <v>12400</v>
      </c>
      <c r="F3" s="0" t="n">
        <v>60</v>
      </c>
      <c r="G3" s="0" t="n">
        <v>31000</v>
      </c>
      <c r="H3" s="0" t="s">
        <v>17</v>
      </c>
      <c r="I3" s="0" t="s">
        <v>18</v>
      </c>
      <c r="J3" s="0" t="n">
        <f aca="false">+G3-((+F3*G3)/100)</f>
        <v>12400</v>
      </c>
    </row>
    <row r="4" customFormat="false" ht="15" hidden="false" customHeight="false" outlineLevel="0" collapsed="false">
      <c r="A4" s="0" t="s">
        <v>9</v>
      </c>
      <c r="B4" s="0" t="s">
        <v>10</v>
      </c>
      <c r="C4" s="0" t="s">
        <v>19</v>
      </c>
      <c r="D4" s="0" t="s">
        <v>20</v>
      </c>
      <c r="E4" s="0" t="n">
        <f aca="false">+J4</f>
        <v>13600</v>
      </c>
      <c r="F4" s="0" t="n">
        <v>60</v>
      </c>
      <c r="G4" s="0" t="n">
        <v>34000</v>
      </c>
      <c r="H4" s="0" t="s">
        <v>21</v>
      </c>
      <c r="I4" s="0" t="s">
        <v>22</v>
      </c>
      <c r="J4" s="0" t="n">
        <f aca="false">+G4-((+F4*G4)/100)</f>
        <v>13600</v>
      </c>
    </row>
    <row r="5" customFormat="false" ht="15" hidden="false" customHeight="false" outlineLevel="0" collapsed="false">
      <c r="A5" s="0" t="s">
        <v>9</v>
      </c>
      <c r="B5" s="0" t="s">
        <v>10</v>
      </c>
      <c r="C5" s="0" t="s">
        <v>23</v>
      </c>
      <c r="D5" s="0" t="s">
        <v>24</v>
      </c>
      <c r="E5" s="0" t="n">
        <f aca="false">+J5</f>
        <v>13200</v>
      </c>
      <c r="F5" s="0" t="n">
        <v>60</v>
      </c>
      <c r="G5" s="0" t="n">
        <v>33000</v>
      </c>
      <c r="H5" s="0" t="s">
        <v>25</v>
      </c>
      <c r="I5" s="0" t="s">
        <v>26</v>
      </c>
      <c r="J5" s="0" t="n">
        <f aca="false">+G5-((+F5*G5)/100)</f>
        <v>13200</v>
      </c>
    </row>
    <row r="6" customFormat="false" ht="15" hidden="false" customHeight="false" outlineLevel="0" collapsed="false">
      <c r="A6" s="0" t="s">
        <v>9</v>
      </c>
      <c r="B6" s="0" t="s">
        <v>10</v>
      </c>
      <c r="C6" s="0" t="s">
        <v>27</v>
      </c>
      <c r="D6" s="0" t="s">
        <v>28</v>
      </c>
      <c r="E6" s="0" t="n">
        <f aca="false">+J6</f>
        <v>14400</v>
      </c>
      <c r="F6" s="0" t="n">
        <v>60</v>
      </c>
      <c r="G6" s="0" t="n">
        <v>36000</v>
      </c>
      <c r="H6" s="0" t="s">
        <v>29</v>
      </c>
      <c r="I6" s="0" t="s">
        <v>30</v>
      </c>
      <c r="J6" s="0" t="n">
        <f aca="false">+G6-((+F6*G6)/100)</f>
        <v>14400</v>
      </c>
    </row>
    <row r="7" customFormat="false" ht="15" hidden="false" customHeight="false" outlineLevel="0" collapsed="false">
      <c r="A7" s="0" t="s">
        <v>9</v>
      </c>
      <c r="B7" s="0" t="s">
        <v>10</v>
      </c>
      <c r="C7" s="0" t="s">
        <v>31</v>
      </c>
      <c r="D7" s="0" t="s">
        <v>32</v>
      </c>
      <c r="E7" s="0" t="n">
        <f aca="false">+J7</f>
        <v>14000</v>
      </c>
      <c r="F7" s="0" t="n">
        <v>60</v>
      </c>
      <c r="G7" s="0" t="n">
        <v>35000</v>
      </c>
      <c r="H7" s="0" t="s">
        <v>33</v>
      </c>
      <c r="I7" s="0" t="s">
        <v>34</v>
      </c>
      <c r="J7" s="0" t="n">
        <f aca="false">+G7-((+F7*G7)/100)</f>
        <v>14000</v>
      </c>
    </row>
    <row r="8" customFormat="false" ht="15" hidden="false" customHeight="false" outlineLevel="0" collapsed="false">
      <c r="A8" s="0" t="s">
        <v>9</v>
      </c>
      <c r="B8" s="0" t="s">
        <v>10</v>
      </c>
      <c r="C8" s="0" t="s">
        <v>35</v>
      </c>
      <c r="D8" s="0" t="s">
        <v>36</v>
      </c>
      <c r="E8" s="0" t="n">
        <f aca="false">+J8</f>
        <v>14800</v>
      </c>
      <c r="F8" s="0" t="n">
        <v>60</v>
      </c>
      <c r="G8" s="0" t="n">
        <v>37000</v>
      </c>
      <c r="H8" s="0" t="s">
        <v>37</v>
      </c>
      <c r="I8" s="0" t="s">
        <v>38</v>
      </c>
      <c r="J8" s="0" t="n">
        <f aca="false">+G8-((+F8*G8)/100)</f>
        <v>14800</v>
      </c>
    </row>
    <row r="9" customFormat="false" ht="15" hidden="false" customHeight="false" outlineLevel="0" collapsed="false">
      <c r="A9" s="0" t="s">
        <v>9</v>
      </c>
      <c r="B9" s="0" t="s">
        <v>10</v>
      </c>
      <c r="C9" s="0" t="s">
        <v>39</v>
      </c>
      <c r="D9" s="0" t="s">
        <v>40</v>
      </c>
      <c r="E9" s="0" t="n">
        <f aca="false">+J9</f>
        <v>13500</v>
      </c>
      <c r="F9" s="0" t="n">
        <v>55</v>
      </c>
      <c r="G9" s="0" t="n">
        <v>30000</v>
      </c>
      <c r="H9" s="0" t="s">
        <v>41</v>
      </c>
      <c r="I9" s="0" t="s">
        <v>42</v>
      </c>
      <c r="J9" s="0" t="n">
        <f aca="false">+G9-((+F9*G9)/100)</f>
        <v>13500</v>
      </c>
    </row>
    <row r="10" customFormat="false" ht="15" hidden="false" customHeight="false" outlineLevel="0" collapsed="false">
      <c r="A10" s="0" t="s">
        <v>9</v>
      </c>
      <c r="B10" s="0" t="s">
        <v>10</v>
      </c>
      <c r="C10" s="0" t="s">
        <v>43</v>
      </c>
      <c r="D10" s="0" t="s">
        <v>44</v>
      </c>
      <c r="E10" s="0" t="n">
        <f aca="false">+J10</f>
        <v>3400</v>
      </c>
      <c r="F10" s="0" t="n">
        <v>60</v>
      </c>
      <c r="G10" s="0" t="n">
        <v>8500</v>
      </c>
      <c r="H10" s="0" t="s">
        <v>45</v>
      </c>
      <c r="I10" s="0" t="s">
        <v>46</v>
      </c>
      <c r="J10" s="0" t="n">
        <f aca="false">+G10-((+F10*G10)/100)</f>
        <v>3400</v>
      </c>
    </row>
    <row r="11" customFormat="false" ht="15" hidden="false" customHeight="false" outlineLevel="0" collapsed="false">
      <c r="A11" s="0" t="s">
        <v>9</v>
      </c>
      <c r="B11" s="0" t="s">
        <v>10</v>
      </c>
      <c r="C11" s="0" t="s">
        <v>47</v>
      </c>
      <c r="D11" s="0" t="s">
        <v>48</v>
      </c>
      <c r="E11" s="0" t="n">
        <f aca="false">+J11</f>
        <v>14700</v>
      </c>
      <c r="F11" s="0" t="n">
        <v>0</v>
      </c>
      <c r="G11" s="0" t="n">
        <v>14700</v>
      </c>
      <c r="H11" s="0" t="s">
        <v>49</v>
      </c>
      <c r="I11" s="0" t="s">
        <v>50</v>
      </c>
      <c r="J11" s="0" t="n">
        <f aca="false">+G11-((+F11*G11)/100)</f>
        <v>14700</v>
      </c>
    </row>
    <row r="12" customFormat="false" ht="15" hidden="false" customHeight="false" outlineLevel="0" collapsed="false">
      <c r="A12" s="0" t="s">
        <v>9</v>
      </c>
      <c r="B12" s="0" t="s">
        <v>51</v>
      </c>
      <c r="C12" s="0" t="s">
        <v>52</v>
      </c>
      <c r="D12" s="0" t="s">
        <v>53</v>
      </c>
      <c r="E12" s="0" t="n">
        <f aca="false">+J12</f>
        <v>6500</v>
      </c>
      <c r="F12" s="0" t="n">
        <v>0</v>
      </c>
      <c r="G12" s="0" t="n">
        <v>6500</v>
      </c>
      <c r="H12" s="0" t="s">
        <v>54</v>
      </c>
      <c r="I12" s="0" t="s">
        <v>55</v>
      </c>
      <c r="J12" s="0" t="n">
        <f aca="false">+G12-((+F12*G12)/100)</f>
        <v>6500</v>
      </c>
    </row>
    <row r="13" customFormat="false" ht="15" hidden="false" customHeight="false" outlineLevel="0" collapsed="false">
      <c r="A13" s="0" t="s">
        <v>9</v>
      </c>
      <c r="B13" s="0" t="s">
        <v>51</v>
      </c>
      <c r="C13" s="0" t="s">
        <v>56</v>
      </c>
      <c r="D13" s="0" t="s">
        <v>57</v>
      </c>
      <c r="E13" s="0" t="n">
        <f aca="false">+J13</f>
        <v>8500</v>
      </c>
      <c r="F13" s="0" t="n">
        <v>0</v>
      </c>
      <c r="G13" s="0" t="n">
        <v>8500</v>
      </c>
      <c r="H13" s="0" t="s">
        <v>58</v>
      </c>
      <c r="I13" s="0" t="s">
        <v>59</v>
      </c>
      <c r="J13" s="0" t="n">
        <f aca="false">+G13-((+F13*G13)/100)</f>
        <v>8500</v>
      </c>
    </row>
    <row r="14" customFormat="false" ht="15" hidden="false" customHeight="false" outlineLevel="0" collapsed="false">
      <c r="A14" s="0" t="s">
        <v>9</v>
      </c>
      <c r="B14" s="0" t="s">
        <v>51</v>
      </c>
      <c r="C14" s="0" t="s">
        <v>60</v>
      </c>
      <c r="D14" s="0" t="s">
        <v>61</v>
      </c>
      <c r="E14" s="0" t="n">
        <f aca="false">+J14</f>
        <v>7500</v>
      </c>
      <c r="F14" s="0" t="n">
        <v>0</v>
      </c>
      <c r="G14" s="0" t="n">
        <v>7500</v>
      </c>
      <c r="H14" s="0" t="s">
        <v>62</v>
      </c>
      <c r="I14" s="0" t="s">
        <v>63</v>
      </c>
      <c r="J14" s="0" t="n">
        <f aca="false">+G14-((+F14*G14)/100)</f>
        <v>7500</v>
      </c>
    </row>
    <row r="15" customFormat="false" ht="15" hidden="false" customHeight="false" outlineLevel="0" collapsed="false">
      <c r="A15" s="0" t="s">
        <v>9</v>
      </c>
      <c r="B15" s="0" t="s">
        <v>51</v>
      </c>
      <c r="C15" s="0" t="s">
        <v>64</v>
      </c>
      <c r="D15" s="0" t="s">
        <v>65</v>
      </c>
      <c r="E15" s="0" t="n">
        <f aca="false">+J15</f>
        <v>7000</v>
      </c>
      <c r="F15" s="0" t="n">
        <v>0</v>
      </c>
      <c r="G15" s="0" t="n">
        <v>7000</v>
      </c>
      <c r="H15" s="0" t="s">
        <v>66</v>
      </c>
      <c r="I15" s="0" t="s">
        <v>67</v>
      </c>
      <c r="J15" s="0" t="n">
        <f aca="false">+G15-((+F15*G15)/100)</f>
        <v>7000</v>
      </c>
    </row>
    <row r="16" customFormat="false" ht="15" hidden="false" customHeight="false" outlineLevel="0" collapsed="false">
      <c r="A16" s="0" t="s">
        <v>9</v>
      </c>
      <c r="B16" s="0" t="s">
        <v>51</v>
      </c>
      <c r="C16" s="0" t="s">
        <v>68</v>
      </c>
      <c r="D16" s="0" t="s">
        <v>69</v>
      </c>
      <c r="E16" s="0" t="n">
        <f aca="false">+J16</f>
        <v>7500</v>
      </c>
      <c r="F16" s="0" t="n">
        <v>0</v>
      </c>
      <c r="G16" s="0" t="n">
        <v>7500</v>
      </c>
      <c r="H16" s="0" t="s">
        <v>70</v>
      </c>
      <c r="I16" s="0" t="s">
        <v>71</v>
      </c>
      <c r="J16" s="0" t="n">
        <f aca="false">+G16-((+F16*G16)/100)</f>
        <v>7500</v>
      </c>
    </row>
    <row r="17" customFormat="false" ht="15" hidden="false" customHeight="false" outlineLevel="0" collapsed="false">
      <c r="A17" s="0" t="s">
        <v>9</v>
      </c>
      <c r="B17" s="0" t="s">
        <v>51</v>
      </c>
      <c r="C17" s="0" t="s">
        <v>72</v>
      </c>
      <c r="D17" s="0" t="s">
        <v>73</v>
      </c>
      <c r="E17" s="0" t="n">
        <f aca="false">+J17</f>
        <v>16500</v>
      </c>
      <c r="F17" s="0" t="n">
        <v>0</v>
      </c>
      <c r="G17" s="0" t="n">
        <v>16500</v>
      </c>
      <c r="H17" s="0" t="s">
        <v>74</v>
      </c>
      <c r="I17" s="0" t="s">
        <v>75</v>
      </c>
      <c r="J17" s="0" t="n">
        <f aca="false">+G17-((+F17*G17)/100)</f>
        <v>16500</v>
      </c>
    </row>
    <row r="18" customFormat="false" ht="15" hidden="false" customHeight="false" outlineLevel="0" collapsed="false">
      <c r="A18" s="0" t="s">
        <v>9</v>
      </c>
      <c r="B18" s="0" t="s">
        <v>76</v>
      </c>
      <c r="C18" s="0" t="s">
        <v>77</v>
      </c>
      <c r="D18" s="0" t="s">
        <v>78</v>
      </c>
      <c r="E18" s="0" t="n">
        <f aca="false">+J18</f>
        <v>10500</v>
      </c>
      <c r="F18" s="0" t="n">
        <v>0</v>
      </c>
      <c r="G18" s="0" t="n">
        <v>10500</v>
      </c>
      <c r="H18" s="0" t="s">
        <v>79</v>
      </c>
      <c r="I18" s="0" t="s">
        <v>80</v>
      </c>
      <c r="J18" s="0" t="n">
        <f aca="false">+G18-((+F18*G18)/100)</f>
        <v>10500</v>
      </c>
    </row>
    <row r="19" customFormat="false" ht="15" hidden="false" customHeight="false" outlineLevel="0" collapsed="false">
      <c r="A19" s="0" t="s">
        <v>9</v>
      </c>
      <c r="B19" s="0" t="s">
        <v>76</v>
      </c>
      <c r="C19" s="0" t="s">
        <v>81</v>
      </c>
      <c r="D19" s="0" t="s">
        <v>82</v>
      </c>
      <c r="E19" s="0" t="n">
        <f aca="false">+J19</f>
        <v>12000</v>
      </c>
      <c r="F19" s="0" t="n">
        <v>0</v>
      </c>
      <c r="G19" s="0" t="n">
        <v>12000</v>
      </c>
      <c r="H19" s="0" t="s">
        <v>83</v>
      </c>
      <c r="I19" s="0" t="s">
        <v>84</v>
      </c>
      <c r="J19" s="0" t="n">
        <f aca="false">+G19-((+F19*G19)/100)</f>
        <v>12000</v>
      </c>
    </row>
    <row r="20" customFormat="false" ht="15" hidden="false" customHeight="false" outlineLevel="0" collapsed="false">
      <c r="A20" s="0" t="s">
        <v>9</v>
      </c>
      <c r="B20" s="0" t="s">
        <v>76</v>
      </c>
      <c r="C20" s="0" t="s">
        <v>85</v>
      </c>
      <c r="D20" s="0" t="s">
        <v>86</v>
      </c>
      <c r="E20" s="0" t="n">
        <f aca="false">+J20</f>
        <v>16000</v>
      </c>
      <c r="F20" s="0" t="n">
        <v>0</v>
      </c>
      <c r="G20" s="0" t="n">
        <v>16000</v>
      </c>
      <c r="H20" s="0" t="s">
        <v>87</v>
      </c>
      <c r="I20" s="0" t="s">
        <v>88</v>
      </c>
      <c r="J20" s="0" t="n">
        <f aca="false">+G20-((+F20*G20)/100)</f>
        <v>16000</v>
      </c>
    </row>
    <row r="21" customFormat="false" ht="15" hidden="false" customHeight="false" outlineLevel="0" collapsed="false">
      <c r="A21" s="0" t="s">
        <v>9</v>
      </c>
      <c r="B21" s="0" t="s">
        <v>76</v>
      </c>
      <c r="C21" s="0" t="s">
        <v>89</v>
      </c>
      <c r="D21" s="0" t="s">
        <v>90</v>
      </c>
      <c r="E21" s="0" t="n">
        <f aca="false">+J21</f>
        <v>17000</v>
      </c>
      <c r="F21" s="0" t="n">
        <v>0</v>
      </c>
      <c r="G21" s="0" t="n">
        <v>17000</v>
      </c>
      <c r="H21" s="0" t="s">
        <v>91</v>
      </c>
      <c r="I21" s="0" t="s">
        <v>92</v>
      </c>
      <c r="J21" s="0" t="n">
        <f aca="false">+G21-((+F21*G21)/100)</f>
        <v>17000</v>
      </c>
    </row>
    <row r="22" customFormat="false" ht="15" hidden="false" customHeight="false" outlineLevel="0" collapsed="false">
      <c r="A22" s="0" t="s">
        <v>9</v>
      </c>
      <c r="B22" s="0" t="s">
        <v>93</v>
      </c>
      <c r="C22" s="0" t="s">
        <v>94</v>
      </c>
      <c r="D22" s="0" t="s">
        <v>95</v>
      </c>
      <c r="E22" s="0" t="n">
        <f aca="false">+J22</f>
        <v>9000</v>
      </c>
      <c r="F22" s="0" t="n">
        <v>0</v>
      </c>
      <c r="G22" s="0" t="n">
        <v>9000</v>
      </c>
      <c r="H22" s="0" t="s">
        <v>96</v>
      </c>
      <c r="I22" s="0" t="s">
        <v>18</v>
      </c>
      <c r="J22" s="0" t="n">
        <f aca="false">+G22-((+F22*G22)/100)</f>
        <v>9000</v>
      </c>
    </row>
    <row r="23" customFormat="false" ht="15" hidden="false" customHeight="false" outlineLevel="0" collapsed="false">
      <c r="A23" s="0" t="s">
        <v>9</v>
      </c>
      <c r="B23" s="0" t="s">
        <v>93</v>
      </c>
      <c r="C23" s="0" t="s">
        <v>97</v>
      </c>
      <c r="D23" s="0" t="s">
        <v>98</v>
      </c>
      <c r="E23" s="0" t="n">
        <f aca="false">+J23</f>
        <v>8000</v>
      </c>
      <c r="F23" s="0" t="n">
        <v>0</v>
      </c>
      <c r="G23" s="0" t="n">
        <v>8000</v>
      </c>
      <c r="H23" s="0" t="s">
        <v>99</v>
      </c>
      <c r="I23" s="0" t="s">
        <v>100</v>
      </c>
      <c r="J23" s="0" t="n">
        <f aca="false">+G23-((+F23*G23)/100)</f>
        <v>8000</v>
      </c>
    </row>
    <row r="24" customFormat="false" ht="15" hidden="false" customHeight="false" outlineLevel="0" collapsed="false">
      <c r="A24" s="0" t="s">
        <v>9</v>
      </c>
      <c r="B24" s="0" t="s">
        <v>93</v>
      </c>
      <c r="C24" s="0" t="s">
        <v>101</v>
      </c>
      <c r="D24" s="0" t="s">
        <v>102</v>
      </c>
      <c r="E24" s="0" t="n">
        <f aca="false">+J24</f>
        <v>7500</v>
      </c>
      <c r="F24" s="0" t="n">
        <v>0</v>
      </c>
      <c r="G24" s="0" t="n">
        <v>7500</v>
      </c>
      <c r="H24" s="0" t="s">
        <v>103</v>
      </c>
      <c r="I24" s="0" t="s">
        <v>104</v>
      </c>
      <c r="J24" s="0" t="n">
        <f aca="false">+G24-((+F24*G24)/100)</f>
        <v>7500</v>
      </c>
    </row>
    <row r="25" customFormat="false" ht="15" hidden="false" customHeight="false" outlineLevel="0" collapsed="false">
      <c r="A25" s="0" t="s">
        <v>9</v>
      </c>
      <c r="B25" s="0" t="s">
        <v>93</v>
      </c>
      <c r="C25" s="0" t="s">
        <v>105</v>
      </c>
      <c r="D25" s="0" t="s">
        <v>106</v>
      </c>
      <c r="E25" s="0" t="n">
        <f aca="false">+J25</f>
        <v>10000</v>
      </c>
      <c r="F25" s="0" t="n">
        <v>0</v>
      </c>
      <c r="G25" s="0" t="n">
        <v>10000</v>
      </c>
      <c r="H25" s="0" t="s">
        <v>107</v>
      </c>
      <c r="I25" s="0" t="s">
        <v>108</v>
      </c>
      <c r="J25" s="0" t="n">
        <f aca="false">+G25-((+F25*G25)/100)</f>
        <v>10000</v>
      </c>
    </row>
    <row r="26" customFormat="false" ht="15" hidden="false" customHeight="false" outlineLevel="0" collapsed="false">
      <c r="A26" s="0" t="s">
        <v>9</v>
      </c>
      <c r="B26" s="0" t="s">
        <v>109</v>
      </c>
      <c r="C26" s="0" t="s">
        <v>110</v>
      </c>
      <c r="D26" s="0" t="s">
        <v>111</v>
      </c>
      <c r="E26" s="0" t="n">
        <f aca="false">+J26</f>
        <v>11000</v>
      </c>
      <c r="F26" s="0" t="n">
        <v>0</v>
      </c>
      <c r="G26" s="0" t="n">
        <v>11000</v>
      </c>
      <c r="H26" s="0" t="s">
        <v>107</v>
      </c>
      <c r="I26" s="0" t="s">
        <v>112</v>
      </c>
      <c r="J26" s="0" t="n">
        <f aca="false">+G26-((+F26*G26)/100)</f>
        <v>11000</v>
      </c>
    </row>
    <row r="27" customFormat="false" ht="15" hidden="false" customHeight="false" outlineLevel="0" collapsed="false">
      <c r="A27" s="0" t="s">
        <v>9</v>
      </c>
      <c r="B27" s="0" t="s">
        <v>109</v>
      </c>
      <c r="C27" s="0" t="s">
        <v>113</v>
      </c>
      <c r="D27" s="0" t="s">
        <v>114</v>
      </c>
      <c r="E27" s="0" t="n">
        <f aca="false">+J27</f>
        <v>12000</v>
      </c>
      <c r="F27" s="0" t="n">
        <v>0</v>
      </c>
      <c r="G27" s="0" t="n">
        <v>12000</v>
      </c>
      <c r="H27" s="0" t="s">
        <v>115</v>
      </c>
      <c r="I27" s="0" t="s">
        <v>116</v>
      </c>
      <c r="J27" s="0" t="n">
        <f aca="false">+G27-((+F27*G27)/100)</f>
        <v>12000</v>
      </c>
    </row>
    <row r="28" customFormat="false" ht="15" hidden="false" customHeight="false" outlineLevel="0" collapsed="false">
      <c r="A28" s="0" t="s">
        <v>9</v>
      </c>
      <c r="B28" s="0" t="s">
        <v>109</v>
      </c>
      <c r="C28" s="0" t="s">
        <v>117</v>
      </c>
      <c r="D28" s="0" t="s">
        <v>118</v>
      </c>
      <c r="E28" s="0" t="n">
        <f aca="false">+J28</f>
        <v>14000</v>
      </c>
      <c r="F28" s="0" t="n">
        <v>0</v>
      </c>
      <c r="G28" s="0" t="n">
        <v>14000</v>
      </c>
      <c r="H28" s="0" t="s">
        <v>119</v>
      </c>
      <c r="I28" s="0" t="s">
        <v>14</v>
      </c>
      <c r="J28" s="0" t="n">
        <f aca="false">+G28-((+F28*G28)/100)</f>
        <v>14000</v>
      </c>
    </row>
    <row r="29" customFormat="false" ht="15" hidden="false" customHeight="false" outlineLevel="0" collapsed="false">
      <c r="A29" s="0" t="s">
        <v>9</v>
      </c>
      <c r="B29" s="0" t="s">
        <v>109</v>
      </c>
      <c r="C29" s="0" t="s">
        <v>120</v>
      </c>
      <c r="D29" s="0" t="s">
        <v>121</v>
      </c>
      <c r="E29" s="0" t="n">
        <f aca="false">+J29</f>
        <v>8000</v>
      </c>
      <c r="F29" s="0" t="n">
        <v>0</v>
      </c>
      <c r="G29" s="0" t="n">
        <v>8000</v>
      </c>
      <c r="H29" s="0" t="s">
        <v>122</v>
      </c>
      <c r="I29" s="0" t="s">
        <v>123</v>
      </c>
      <c r="J29" s="0" t="n">
        <f aca="false">+G29-((+F29*G29)/100)</f>
        <v>8000</v>
      </c>
    </row>
    <row r="30" customFormat="false" ht="15" hidden="false" customHeight="false" outlineLevel="0" collapsed="false">
      <c r="A30" s="0" t="s">
        <v>9</v>
      </c>
      <c r="B30" s="0" t="s">
        <v>109</v>
      </c>
      <c r="C30" s="0" t="s">
        <v>124</v>
      </c>
      <c r="D30" s="0" t="s">
        <v>125</v>
      </c>
      <c r="E30" s="0" t="n">
        <f aca="false">+J30</f>
        <v>8100</v>
      </c>
      <c r="F30" s="0" t="n">
        <v>10</v>
      </c>
      <c r="G30" s="0" t="n">
        <v>9000</v>
      </c>
      <c r="H30" s="0" t="s">
        <v>126</v>
      </c>
      <c r="I30" s="0" t="s">
        <v>127</v>
      </c>
      <c r="J30" s="0" t="n">
        <f aca="false">+G30-((+F30*G30)/100)</f>
        <v>8100</v>
      </c>
    </row>
    <row r="31" customFormat="false" ht="15" hidden="false" customHeight="false" outlineLevel="0" collapsed="false">
      <c r="A31" s="0" t="s">
        <v>9</v>
      </c>
      <c r="B31" s="0" t="s">
        <v>109</v>
      </c>
      <c r="C31" s="0" t="s">
        <v>128</v>
      </c>
      <c r="D31" s="0" t="s">
        <v>129</v>
      </c>
      <c r="E31" s="0" t="n">
        <f aca="false">+J31</f>
        <v>19800</v>
      </c>
      <c r="F31" s="0" t="n">
        <v>10</v>
      </c>
      <c r="G31" s="0" t="n">
        <v>22000</v>
      </c>
      <c r="H31" s="0" t="s">
        <v>130</v>
      </c>
      <c r="I31" s="0" t="s">
        <v>131</v>
      </c>
      <c r="J31" s="0" t="n">
        <f aca="false">+G31-((+F31*G31)/100)</f>
        <v>19800</v>
      </c>
    </row>
    <row r="32" customFormat="false" ht="15" hidden="false" customHeight="false" outlineLevel="0" collapsed="false">
      <c r="A32" s="0" t="s">
        <v>9</v>
      </c>
      <c r="B32" s="0" t="s">
        <v>109</v>
      </c>
      <c r="C32" s="0" t="s">
        <v>132</v>
      </c>
      <c r="D32" s="0" t="s">
        <v>133</v>
      </c>
      <c r="E32" s="0" t="n">
        <f aca="false">+J32</f>
        <v>21600</v>
      </c>
      <c r="F32" s="0" t="n">
        <v>10</v>
      </c>
      <c r="G32" s="0" t="n">
        <v>24000</v>
      </c>
      <c r="H32" s="0" t="s">
        <v>134</v>
      </c>
      <c r="I32" s="0" t="s">
        <v>135</v>
      </c>
      <c r="J32" s="0" t="n">
        <f aca="false">+G32-((+F32*G32)/100)</f>
        <v>21600</v>
      </c>
    </row>
    <row r="33" customFormat="false" ht="15" hidden="false" customHeight="false" outlineLevel="0" collapsed="false">
      <c r="A33" s="0" t="s">
        <v>9</v>
      </c>
      <c r="B33" s="0" t="s">
        <v>109</v>
      </c>
      <c r="C33" s="0" t="s">
        <v>136</v>
      </c>
      <c r="D33" s="0" t="s">
        <v>137</v>
      </c>
      <c r="E33" s="0" t="n">
        <f aca="false">+J33</f>
        <v>10800</v>
      </c>
      <c r="F33" s="0" t="n">
        <v>10</v>
      </c>
      <c r="G33" s="0" t="n">
        <v>12000</v>
      </c>
      <c r="H33" s="0" t="s">
        <v>138</v>
      </c>
      <c r="I33" s="0" t="s">
        <v>139</v>
      </c>
      <c r="J33" s="0" t="n">
        <f aca="false">+G33-((+F33*G33)/100)</f>
        <v>10800</v>
      </c>
    </row>
    <row r="34" customFormat="false" ht="15" hidden="false" customHeight="false" outlineLevel="0" collapsed="false">
      <c r="A34" s="0" t="s">
        <v>9</v>
      </c>
      <c r="B34" s="0" t="s">
        <v>140</v>
      </c>
      <c r="C34" s="0" t="s">
        <v>141</v>
      </c>
      <c r="D34" s="0" t="s">
        <v>142</v>
      </c>
      <c r="E34" s="0" t="n">
        <f aca="false">+J34</f>
        <v>1120</v>
      </c>
      <c r="F34" s="0" t="n">
        <v>60</v>
      </c>
      <c r="G34" s="0" t="n">
        <v>2800</v>
      </c>
      <c r="H34" s="0" t="s">
        <v>143</v>
      </c>
      <c r="I34" s="0" t="s">
        <v>144</v>
      </c>
      <c r="J34" s="0" t="n">
        <f aca="false">+G34-((+F34*G34)/100)</f>
        <v>1120</v>
      </c>
    </row>
    <row r="35" customFormat="false" ht="15" hidden="false" customHeight="false" outlineLevel="0" collapsed="false">
      <c r="A35" s="0" t="s">
        <v>9</v>
      </c>
      <c r="B35" s="0" t="s">
        <v>140</v>
      </c>
      <c r="C35" s="0" t="s">
        <v>145</v>
      </c>
      <c r="D35" s="0" t="s">
        <v>146</v>
      </c>
      <c r="E35" s="0" t="n">
        <f aca="false">+J35</f>
        <v>2600</v>
      </c>
      <c r="F35" s="0" t="n">
        <v>0</v>
      </c>
      <c r="G35" s="0" t="n">
        <v>2600</v>
      </c>
      <c r="H35" s="0" t="s">
        <v>143</v>
      </c>
      <c r="I35" s="0" t="s">
        <v>144</v>
      </c>
      <c r="J35" s="0" t="n">
        <f aca="false">+G35-((+F35*G35)/100)</f>
        <v>2600</v>
      </c>
    </row>
    <row r="36" customFormat="false" ht="15" hidden="false" customHeight="false" outlineLevel="0" collapsed="false">
      <c r="A36" s="0" t="s">
        <v>9</v>
      </c>
      <c r="B36" s="0" t="s">
        <v>140</v>
      </c>
      <c r="C36" s="0" t="s">
        <v>147</v>
      </c>
      <c r="D36" s="0" t="s">
        <v>148</v>
      </c>
      <c r="E36" s="0" t="n">
        <f aca="false">+J36</f>
        <v>2700</v>
      </c>
      <c r="F36" s="0" t="n">
        <v>0</v>
      </c>
      <c r="G36" s="0" t="n">
        <v>2700</v>
      </c>
      <c r="H36" s="0" t="s">
        <v>149</v>
      </c>
      <c r="I36" s="0" t="s">
        <v>150</v>
      </c>
      <c r="J36" s="0" t="n">
        <f aca="false">+G36-((+F36*G36)/100)</f>
        <v>2700</v>
      </c>
    </row>
    <row r="37" customFormat="false" ht="15" hidden="false" customHeight="false" outlineLevel="0" collapsed="false">
      <c r="A37" s="0" t="s">
        <v>9</v>
      </c>
      <c r="B37" s="0" t="s">
        <v>140</v>
      </c>
      <c r="C37" s="0" t="s">
        <v>151</v>
      </c>
      <c r="D37" s="0" t="s">
        <v>152</v>
      </c>
      <c r="E37" s="0" t="n">
        <f aca="false">+J37</f>
        <v>3000</v>
      </c>
      <c r="F37" s="0" t="n">
        <v>0</v>
      </c>
      <c r="G37" s="0" t="n">
        <v>3000</v>
      </c>
      <c r="H37" s="0" t="s">
        <v>153</v>
      </c>
      <c r="I37" s="0" t="s">
        <v>154</v>
      </c>
      <c r="J37" s="0" t="n">
        <f aca="false">+G37-((+F37*G37)/100)</f>
        <v>3000</v>
      </c>
    </row>
    <row r="38" customFormat="false" ht="15" hidden="false" customHeight="false" outlineLevel="0" collapsed="false">
      <c r="A38" s="0" t="s">
        <v>9</v>
      </c>
      <c r="B38" s="0" t="s">
        <v>140</v>
      </c>
      <c r="C38" s="0" t="s">
        <v>155</v>
      </c>
      <c r="D38" s="0" t="s">
        <v>156</v>
      </c>
      <c r="E38" s="0" t="n">
        <f aca="false">+J38</f>
        <v>2500</v>
      </c>
      <c r="F38" s="0" t="n">
        <v>0</v>
      </c>
      <c r="G38" s="0" t="n">
        <v>2500</v>
      </c>
      <c r="H38" s="0" t="s">
        <v>143</v>
      </c>
      <c r="I38" s="0" t="s">
        <v>157</v>
      </c>
      <c r="J38" s="0" t="n">
        <f aca="false">+G38-((+F38*G38)/100)</f>
        <v>2500</v>
      </c>
    </row>
    <row r="39" customFormat="false" ht="15" hidden="false" customHeight="false" outlineLevel="0" collapsed="false">
      <c r="A39" s="0" t="s">
        <v>9</v>
      </c>
      <c r="B39" s="0" t="s">
        <v>140</v>
      </c>
      <c r="C39" s="0" t="s">
        <v>158</v>
      </c>
      <c r="D39" s="0" t="s">
        <v>159</v>
      </c>
      <c r="E39" s="0" t="n">
        <f aca="false">+J39</f>
        <v>2600</v>
      </c>
      <c r="F39" s="0" t="n">
        <v>0</v>
      </c>
      <c r="G39" s="0" t="n">
        <v>2600</v>
      </c>
      <c r="H39" s="0" t="s">
        <v>160</v>
      </c>
      <c r="I39" s="0" t="s">
        <v>161</v>
      </c>
      <c r="J39" s="0" t="n">
        <f aca="false">+G39-((+F39*G39)/100)</f>
        <v>2600</v>
      </c>
    </row>
    <row r="40" customFormat="false" ht="15" hidden="false" customHeight="false" outlineLevel="0" collapsed="false">
      <c r="A40" s="0" t="s">
        <v>9</v>
      </c>
      <c r="B40" s="0" t="s">
        <v>140</v>
      </c>
      <c r="C40" s="0" t="s">
        <v>162</v>
      </c>
      <c r="D40" s="0" t="s">
        <v>163</v>
      </c>
      <c r="E40" s="0" t="n">
        <f aca="false">+J40</f>
        <v>2900</v>
      </c>
      <c r="F40" s="0" t="n">
        <v>0</v>
      </c>
      <c r="G40" s="0" t="n">
        <v>2900</v>
      </c>
      <c r="H40" s="0" t="s">
        <v>164</v>
      </c>
      <c r="I40" s="0" t="s">
        <v>165</v>
      </c>
      <c r="J40" s="0" t="n">
        <f aca="false">+G40-((+F40*G40)/100)</f>
        <v>2900</v>
      </c>
    </row>
    <row r="41" customFormat="false" ht="15" hidden="false" customHeight="false" outlineLevel="0" collapsed="false">
      <c r="A41" s="0" t="s">
        <v>9</v>
      </c>
      <c r="B41" s="0" t="s">
        <v>140</v>
      </c>
      <c r="C41" s="0" t="s">
        <v>166</v>
      </c>
      <c r="D41" s="0" t="s">
        <v>167</v>
      </c>
      <c r="E41" s="0" t="n">
        <f aca="false">+J41</f>
        <v>2500</v>
      </c>
      <c r="F41" s="0" t="n">
        <v>0</v>
      </c>
      <c r="G41" s="0" t="n">
        <v>2500</v>
      </c>
      <c r="H41" s="0" t="s">
        <v>168</v>
      </c>
      <c r="I41" s="0" t="s">
        <v>169</v>
      </c>
      <c r="J41" s="0" t="n">
        <f aca="false">+G41-((+F41*G41)/100)</f>
        <v>2500</v>
      </c>
    </row>
    <row r="42" customFormat="false" ht="15" hidden="false" customHeight="false" outlineLevel="0" collapsed="false">
      <c r="A42" s="0" t="s">
        <v>9</v>
      </c>
      <c r="B42" s="0" t="s">
        <v>140</v>
      </c>
      <c r="C42" s="0" t="s">
        <v>170</v>
      </c>
      <c r="D42" s="0" t="s">
        <v>171</v>
      </c>
      <c r="E42" s="0" t="n">
        <f aca="false">+J42</f>
        <v>2500</v>
      </c>
      <c r="F42" s="0" t="n">
        <v>0</v>
      </c>
      <c r="G42" s="0" t="n">
        <v>2500</v>
      </c>
      <c r="H42" s="0" t="s">
        <v>172</v>
      </c>
      <c r="I42" s="0" t="s">
        <v>173</v>
      </c>
      <c r="J42" s="0" t="n">
        <f aca="false">+G42-((+F42*G42)/100)</f>
        <v>2500</v>
      </c>
    </row>
    <row r="43" customFormat="false" ht="15" hidden="false" customHeight="false" outlineLevel="0" collapsed="false">
      <c r="A43" s="0" t="s">
        <v>9</v>
      </c>
      <c r="B43" s="0" t="s">
        <v>140</v>
      </c>
      <c r="C43" s="0" t="s">
        <v>174</v>
      </c>
      <c r="D43" s="0" t="s">
        <v>175</v>
      </c>
      <c r="E43" s="0" t="n">
        <f aca="false">+J43</f>
        <v>2500</v>
      </c>
      <c r="F43" s="0" t="n">
        <v>0</v>
      </c>
      <c r="G43" s="0" t="n">
        <v>2500</v>
      </c>
      <c r="H43" s="0" t="s">
        <v>49</v>
      </c>
      <c r="I43" s="0" t="s">
        <v>50</v>
      </c>
      <c r="J43" s="0" t="n">
        <f aca="false">+G43-((+F43*G43)/100)</f>
        <v>2500</v>
      </c>
    </row>
    <row r="44" customFormat="false" ht="15" hidden="false" customHeight="false" outlineLevel="0" collapsed="false">
      <c r="A44" s="0" t="s">
        <v>9</v>
      </c>
      <c r="B44" s="0" t="s">
        <v>140</v>
      </c>
      <c r="C44" s="0" t="s">
        <v>176</v>
      </c>
      <c r="D44" s="0" t="s">
        <v>177</v>
      </c>
      <c r="E44" s="0" t="n">
        <f aca="false">+J44</f>
        <v>2700</v>
      </c>
      <c r="F44" s="0" t="n">
        <v>0</v>
      </c>
      <c r="G44" s="0" t="n">
        <v>2700</v>
      </c>
      <c r="H44" s="0" t="s">
        <v>178</v>
      </c>
      <c r="I44" s="0" t="s">
        <v>179</v>
      </c>
      <c r="J44" s="0" t="n">
        <f aca="false">+G44-((+F44*G44)/100)</f>
        <v>2700</v>
      </c>
    </row>
    <row r="45" customFormat="false" ht="15" hidden="false" customHeight="false" outlineLevel="0" collapsed="false">
      <c r="A45" s="0" t="s">
        <v>9</v>
      </c>
      <c r="B45" s="0" t="s">
        <v>140</v>
      </c>
      <c r="C45" s="0" t="s">
        <v>180</v>
      </c>
      <c r="D45" s="0" t="s">
        <v>181</v>
      </c>
      <c r="E45" s="0" t="n">
        <f aca="false">+J45</f>
        <v>23800</v>
      </c>
      <c r="F45" s="0" t="n">
        <v>15</v>
      </c>
      <c r="G45" s="0" t="n">
        <v>28000</v>
      </c>
      <c r="H45" s="0" t="s">
        <v>143</v>
      </c>
      <c r="I45" s="0" t="s">
        <v>182</v>
      </c>
      <c r="J45" s="0" t="n">
        <f aca="false">+G45-((+F45*G45)/100)</f>
        <v>23800</v>
      </c>
    </row>
    <row r="46" customFormat="false" ht="15" hidden="false" customHeight="false" outlineLevel="0" collapsed="false">
      <c r="A46" s="0" t="s">
        <v>9</v>
      </c>
      <c r="B46" s="0" t="s">
        <v>183</v>
      </c>
      <c r="C46" s="0" t="s">
        <v>184</v>
      </c>
      <c r="D46" s="0" t="s">
        <v>185</v>
      </c>
      <c r="E46" s="0" t="n">
        <f aca="false">+J46</f>
        <v>4500</v>
      </c>
      <c r="F46" s="0" t="n">
        <v>0</v>
      </c>
      <c r="G46" s="0" t="n">
        <v>4500</v>
      </c>
      <c r="H46" s="0" t="s">
        <v>160</v>
      </c>
      <c r="I46" s="0" t="s">
        <v>186</v>
      </c>
      <c r="J46" s="0" t="n">
        <f aca="false">+G46-((+F46*G46)/100)</f>
        <v>4500</v>
      </c>
    </row>
    <row r="47" customFormat="false" ht="15" hidden="false" customHeight="false" outlineLevel="0" collapsed="false">
      <c r="A47" s="0" t="s">
        <v>9</v>
      </c>
      <c r="B47" s="0" t="s">
        <v>183</v>
      </c>
      <c r="C47" s="0" t="s">
        <v>187</v>
      </c>
      <c r="D47" s="0" t="s">
        <v>188</v>
      </c>
      <c r="E47" s="0" t="n">
        <f aca="false">+J47</f>
        <v>5850</v>
      </c>
      <c r="F47" s="0" t="n">
        <v>10</v>
      </c>
      <c r="G47" s="0" t="n">
        <v>6500</v>
      </c>
      <c r="H47" s="0" t="s">
        <v>160</v>
      </c>
      <c r="I47" s="0" t="s">
        <v>189</v>
      </c>
      <c r="J47" s="0" t="n">
        <f aca="false">+G47-((+F47*G47)/100)</f>
        <v>5850</v>
      </c>
    </row>
    <row r="48" customFormat="false" ht="15" hidden="false" customHeight="false" outlineLevel="0" collapsed="false">
      <c r="A48" s="0" t="s">
        <v>9</v>
      </c>
      <c r="B48" s="0" t="s">
        <v>183</v>
      </c>
      <c r="C48" s="0" t="s">
        <v>190</v>
      </c>
      <c r="D48" s="0" t="s">
        <v>191</v>
      </c>
      <c r="E48" s="0" t="n">
        <f aca="false">+J48</f>
        <v>5500</v>
      </c>
      <c r="F48" s="0" t="n">
        <v>0</v>
      </c>
      <c r="G48" s="0" t="n">
        <v>5500</v>
      </c>
      <c r="H48" s="0" t="s">
        <v>192</v>
      </c>
      <c r="I48" s="0" t="s">
        <v>193</v>
      </c>
      <c r="J48" s="0" t="n">
        <f aca="false">+G48-((+F48*G48)/100)</f>
        <v>5500</v>
      </c>
    </row>
    <row r="49" customFormat="false" ht="15" hidden="false" customHeight="false" outlineLevel="0" collapsed="false">
      <c r="A49" s="0" t="s">
        <v>9</v>
      </c>
      <c r="B49" s="0" t="s">
        <v>183</v>
      </c>
      <c r="C49" s="0" t="s">
        <v>194</v>
      </c>
      <c r="D49" s="0" t="s">
        <v>195</v>
      </c>
      <c r="E49" s="0" t="n">
        <f aca="false">+J49</f>
        <v>4000</v>
      </c>
      <c r="F49" s="0" t="n">
        <v>0</v>
      </c>
      <c r="G49" s="0" t="n">
        <v>4000</v>
      </c>
      <c r="H49" s="0" t="s">
        <v>196</v>
      </c>
      <c r="I49" s="0" t="s">
        <v>197</v>
      </c>
      <c r="J49" s="0" t="n">
        <f aca="false">+G49-((+F49*G49)/100)</f>
        <v>4000</v>
      </c>
    </row>
    <row r="50" customFormat="false" ht="15" hidden="false" customHeight="false" outlineLevel="0" collapsed="false">
      <c r="A50" s="0" t="s">
        <v>9</v>
      </c>
      <c r="B50" s="0" t="s">
        <v>183</v>
      </c>
      <c r="C50" s="0" t="s">
        <v>198</v>
      </c>
      <c r="D50" s="0" t="s">
        <v>199</v>
      </c>
      <c r="E50" s="0" t="n">
        <f aca="false">+J50</f>
        <v>4000</v>
      </c>
      <c r="F50" s="0" t="n">
        <v>0</v>
      </c>
      <c r="G50" s="0" t="n">
        <v>4000</v>
      </c>
      <c r="H50" s="0" t="s">
        <v>200</v>
      </c>
      <c r="I50" s="0" t="s">
        <v>201</v>
      </c>
      <c r="J50" s="0" t="n">
        <f aca="false">+G50-((+F50*G50)/100)</f>
        <v>4000</v>
      </c>
    </row>
    <row r="51" customFormat="false" ht="15" hidden="false" customHeight="false" outlineLevel="0" collapsed="false">
      <c r="A51" s="0" t="s">
        <v>9</v>
      </c>
      <c r="B51" s="0" t="s">
        <v>183</v>
      </c>
      <c r="C51" s="0" t="s">
        <v>202</v>
      </c>
      <c r="D51" s="0" t="s">
        <v>203</v>
      </c>
      <c r="E51" s="0" t="n">
        <f aca="false">+J51</f>
        <v>6000</v>
      </c>
      <c r="F51" s="0" t="n">
        <v>0</v>
      </c>
      <c r="G51" s="0" t="n">
        <v>6000</v>
      </c>
      <c r="H51" s="0" t="s">
        <v>204</v>
      </c>
      <c r="I51" s="0" t="s">
        <v>205</v>
      </c>
      <c r="J51" s="0" t="n">
        <f aca="false">+G51-((+F51*G51)/100)</f>
        <v>6000</v>
      </c>
    </row>
    <row r="52" customFormat="false" ht="15" hidden="false" customHeight="false" outlineLevel="0" collapsed="false">
      <c r="A52" s="0" t="s">
        <v>9</v>
      </c>
      <c r="B52" s="0" t="s">
        <v>183</v>
      </c>
      <c r="C52" s="0" t="s">
        <v>206</v>
      </c>
      <c r="D52" s="0" t="s">
        <v>207</v>
      </c>
      <c r="E52" s="0" t="n">
        <f aca="false">+J52</f>
        <v>3500</v>
      </c>
      <c r="F52" s="0" t="n">
        <v>0</v>
      </c>
      <c r="G52" s="0" t="n">
        <v>3500</v>
      </c>
      <c r="H52" s="0" t="s">
        <v>208</v>
      </c>
      <c r="I52" s="0" t="s">
        <v>209</v>
      </c>
      <c r="J52" s="0" t="n">
        <f aca="false">+G52-((+F52*G52)/100)</f>
        <v>3500</v>
      </c>
    </row>
    <row r="53" customFormat="false" ht="15" hidden="false" customHeight="false" outlineLevel="0" collapsed="false">
      <c r="A53" s="0" t="s">
        <v>9</v>
      </c>
      <c r="B53" s="0" t="s">
        <v>210</v>
      </c>
      <c r="C53" s="0" t="s">
        <v>211</v>
      </c>
      <c r="D53" s="0" t="s">
        <v>212</v>
      </c>
      <c r="E53" s="0" t="n">
        <f aca="false">+J53</f>
        <v>4500</v>
      </c>
      <c r="F53" s="0" t="n">
        <v>0</v>
      </c>
      <c r="G53" s="0" t="n">
        <v>4500</v>
      </c>
      <c r="H53" s="0" t="s">
        <v>213</v>
      </c>
      <c r="I53" s="0" t="s">
        <v>214</v>
      </c>
      <c r="J53" s="0" t="n">
        <f aca="false">+G53-((+F53*G53)/100)</f>
        <v>4500</v>
      </c>
    </row>
    <row r="54" customFormat="false" ht="15" hidden="false" customHeight="false" outlineLevel="0" collapsed="false">
      <c r="A54" s="0" t="s">
        <v>9</v>
      </c>
      <c r="B54" s="0" t="s">
        <v>210</v>
      </c>
      <c r="C54" s="0" t="s">
        <v>215</v>
      </c>
      <c r="D54" s="0" t="s">
        <v>216</v>
      </c>
      <c r="E54" s="0" t="n">
        <f aca="false">+J54</f>
        <v>6500</v>
      </c>
      <c r="F54" s="0" t="n">
        <v>0</v>
      </c>
      <c r="G54" s="0" t="n">
        <v>6500</v>
      </c>
      <c r="H54" s="0" t="s">
        <v>217</v>
      </c>
      <c r="I54" s="0" t="s">
        <v>218</v>
      </c>
      <c r="J54" s="0" t="n">
        <f aca="false">+G54-((+F54*G54)/100)</f>
        <v>6500</v>
      </c>
    </row>
    <row r="55" customFormat="false" ht="15" hidden="false" customHeight="false" outlineLevel="0" collapsed="false">
      <c r="A55" s="0" t="s">
        <v>9</v>
      </c>
      <c r="B55" s="0" t="s">
        <v>210</v>
      </c>
      <c r="C55" s="0" t="s">
        <v>219</v>
      </c>
      <c r="D55" s="0" t="s">
        <v>220</v>
      </c>
      <c r="E55" s="0" t="n">
        <f aca="false">+J55</f>
        <v>7650</v>
      </c>
      <c r="F55" s="0" t="n">
        <v>10</v>
      </c>
      <c r="G55" s="0" t="n">
        <v>8500</v>
      </c>
      <c r="H55" s="0" t="s">
        <v>221</v>
      </c>
      <c r="I55" s="0" t="s">
        <v>222</v>
      </c>
      <c r="J55" s="0" t="n">
        <f aca="false">+G55-((+F55*G55)/100)</f>
        <v>7650</v>
      </c>
    </row>
    <row r="56" customFormat="false" ht="15" hidden="false" customHeight="false" outlineLevel="0" collapsed="false">
      <c r="A56" s="0" t="s">
        <v>9</v>
      </c>
      <c r="B56" s="0" t="s">
        <v>210</v>
      </c>
      <c r="C56" s="0" t="s">
        <v>223</v>
      </c>
      <c r="D56" s="0" t="s">
        <v>224</v>
      </c>
      <c r="E56" s="0" t="n">
        <f aca="false">+J56</f>
        <v>5500</v>
      </c>
      <c r="F56" s="0" t="n">
        <v>0</v>
      </c>
      <c r="G56" s="0" t="n">
        <v>5500</v>
      </c>
      <c r="H56" s="0" t="s">
        <v>225</v>
      </c>
      <c r="I56" s="0" t="s">
        <v>226</v>
      </c>
      <c r="J56" s="0" t="n">
        <f aca="false">+G56-((+F56*G56)/100)</f>
        <v>5500</v>
      </c>
    </row>
    <row r="57" customFormat="false" ht="15" hidden="false" customHeight="false" outlineLevel="0" collapsed="false">
      <c r="A57" s="0" t="s">
        <v>9</v>
      </c>
      <c r="B57" s="0" t="s">
        <v>210</v>
      </c>
      <c r="C57" s="0" t="s">
        <v>227</v>
      </c>
      <c r="D57" s="0" t="s">
        <v>228</v>
      </c>
      <c r="E57" s="0" t="n">
        <f aca="false">+J57</f>
        <v>5000</v>
      </c>
      <c r="F57" s="0" t="n">
        <v>0</v>
      </c>
      <c r="G57" s="0" t="n">
        <v>5000</v>
      </c>
      <c r="H57" s="0" t="s">
        <v>229</v>
      </c>
      <c r="I57" s="0" t="s">
        <v>230</v>
      </c>
      <c r="J57" s="0" t="n">
        <f aca="false">+G57-((+F57*G57)/100)</f>
        <v>5000</v>
      </c>
    </row>
    <row r="58" customFormat="false" ht="15" hidden="false" customHeight="false" outlineLevel="0" collapsed="false">
      <c r="A58" s="0" t="s">
        <v>9</v>
      </c>
      <c r="B58" s="0" t="s">
        <v>231</v>
      </c>
      <c r="C58" s="0" t="s">
        <v>232</v>
      </c>
      <c r="D58" s="0" t="s">
        <v>233</v>
      </c>
      <c r="E58" s="0" t="n">
        <f aca="false">+J58</f>
        <v>2000</v>
      </c>
      <c r="F58" s="0" t="n">
        <v>0</v>
      </c>
      <c r="G58" s="0" t="n">
        <v>2000</v>
      </c>
      <c r="H58" s="0" t="s">
        <v>234</v>
      </c>
      <c r="I58" s="0" t="s">
        <v>235</v>
      </c>
      <c r="J58" s="0" t="n">
        <f aca="false">+G58-((+F58*G58)/100)</f>
        <v>2000</v>
      </c>
    </row>
    <row r="59" customFormat="false" ht="15" hidden="false" customHeight="false" outlineLevel="0" collapsed="false">
      <c r="A59" s="0" t="s">
        <v>9</v>
      </c>
      <c r="B59" s="0" t="s">
        <v>231</v>
      </c>
      <c r="C59" s="0" t="s">
        <v>236</v>
      </c>
      <c r="D59" s="0" t="s">
        <v>237</v>
      </c>
      <c r="E59" s="0" t="n">
        <f aca="false">+J59</f>
        <v>2800</v>
      </c>
      <c r="F59" s="0" t="n">
        <v>0</v>
      </c>
      <c r="G59" s="0" t="n">
        <v>2800</v>
      </c>
      <c r="H59" s="0" t="s">
        <v>238</v>
      </c>
      <c r="I59" s="0" t="s">
        <v>239</v>
      </c>
      <c r="J59" s="0" t="n">
        <f aca="false">+G59-((+F59*G59)/100)</f>
        <v>2800</v>
      </c>
    </row>
    <row r="60" customFormat="false" ht="15" hidden="false" customHeight="false" outlineLevel="0" collapsed="false">
      <c r="A60" s="0" t="s">
        <v>9</v>
      </c>
      <c r="B60" s="0" t="s">
        <v>231</v>
      </c>
      <c r="C60" s="0" t="s">
        <v>240</v>
      </c>
      <c r="D60" s="0" t="s">
        <v>241</v>
      </c>
      <c r="E60" s="0" t="n">
        <f aca="false">+J60</f>
        <v>2200</v>
      </c>
      <c r="F60" s="0" t="n">
        <v>0</v>
      </c>
      <c r="G60" s="0" t="n">
        <v>2200</v>
      </c>
      <c r="H60" s="0" t="s">
        <v>242</v>
      </c>
      <c r="I60" s="0" t="s">
        <v>243</v>
      </c>
      <c r="J60" s="0" t="n">
        <f aca="false">+G60-((+F60*G60)/100)</f>
        <v>2200</v>
      </c>
    </row>
    <row r="61" customFormat="false" ht="15" hidden="false" customHeight="false" outlineLevel="0" collapsed="false">
      <c r="A61" s="0" t="s">
        <v>9</v>
      </c>
      <c r="B61" s="0" t="s">
        <v>231</v>
      </c>
      <c r="C61" s="0" t="s">
        <v>244</v>
      </c>
      <c r="D61" s="0" t="s">
        <v>245</v>
      </c>
      <c r="E61" s="0" t="n">
        <f aca="false">+J61</f>
        <v>3500</v>
      </c>
      <c r="F61" s="0" t="n">
        <v>0</v>
      </c>
      <c r="G61" s="0" t="n">
        <v>3500</v>
      </c>
      <c r="H61" s="0" t="s">
        <v>246</v>
      </c>
      <c r="I61" s="0" t="s">
        <v>247</v>
      </c>
      <c r="J61" s="0" t="n">
        <f aca="false">+G61-((+F61*G61)/100)</f>
        <v>3500</v>
      </c>
    </row>
    <row r="62" customFormat="false" ht="15" hidden="false" customHeight="false" outlineLevel="0" collapsed="false">
      <c r="A62" s="0" t="s">
        <v>9</v>
      </c>
      <c r="B62" s="0" t="s">
        <v>231</v>
      </c>
      <c r="C62" s="0" t="s">
        <v>248</v>
      </c>
      <c r="D62" s="0" t="s">
        <v>249</v>
      </c>
      <c r="E62" s="0" t="n">
        <f aca="false">+J62</f>
        <v>1800</v>
      </c>
      <c r="F62" s="0" t="n">
        <v>0</v>
      </c>
      <c r="G62" s="0" t="n">
        <v>1800</v>
      </c>
      <c r="H62" s="0" t="s">
        <v>250</v>
      </c>
      <c r="I62" s="0" t="s">
        <v>251</v>
      </c>
      <c r="J62" s="0" t="n">
        <f aca="false">+G62-((+F62*G62)/100)</f>
        <v>1800</v>
      </c>
    </row>
    <row r="63" customFormat="false" ht="15" hidden="false" customHeight="false" outlineLevel="0" collapsed="false">
      <c r="A63" s="0" t="s">
        <v>9</v>
      </c>
      <c r="B63" s="0" t="s">
        <v>231</v>
      </c>
      <c r="C63" s="0" t="s">
        <v>252</v>
      </c>
      <c r="D63" s="0" t="s">
        <v>253</v>
      </c>
      <c r="E63" s="0" t="n">
        <f aca="false">+J63</f>
        <v>1800</v>
      </c>
      <c r="F63" s="0" t="n">
        <v>0</v>
      </c>
      <c r="G63" s="0" t="n">
        <v>1800</v>
      </c>
      <c r="H63" s="0" t="s">
        <v>254</v>
      </c>
      <c r="I63" s="0" t="s">
        <v>255</v>
      </c>
      <c r="J63" s="0" t="n">
        <f aca="false">+G63-((+F63*G63)/100)</f>
        <v>1800</v>
      </c>
    </row>
    <row r="64" customFormat="false" ht="15" hidden="false" customHeight="false" outlineLevel="0" collapsed="false">
      <c r="A64" s="0" t="s">
        <v>9</v>
      </c>
      <c r="B64" s="0" t="s">
        <v>231</v>
      </c>
      <c r="C64" s="0" t="s">
        <v>256</v>
      </c>
      <c r="D64" s="0" t="s">
        <v>257</v>
      </c>
      <c r="E64" s="0" t="n">
        <f aca="false">+J64</f>
        <v>3200</v>
      </c>
      <c r="F64" s="0" t="n">
        <v>0</v>
      </c>
      <c r="G64" s="0" t="n">
        <v>3200</v>
      </c>
      <c r="H64" s="0" t="s">
        <v>258</v>
      </c>
      <c r="I64" s="0" t="s">
        <v>259</v>
      </c>
      <c r="J64" s="0" t="n">
        <f aca="false">+G64-((+F64*G64)/100)</f>
        <v>3200</v>
      </c>
    </row>
    <row r="65" customFormat="false" ht="15" hidden="false" customHeight="false" outlineLevel="0" collapsed="false">
      <c r="A65" s="0" t="s">
        <v>9</v>
      </c>
      <c r="B65" s="0" t="s">
        <v>231</v>
      </c>
      <c r="C65" s="0" t="s">
        <v>260</v>
      </c>
      <c r="D65" s="0" t="s">
        <v>261</v>
      </c>
      <c r="E65" s="0" t="n">
        <f aca="false">+J65</f>
        <v>2500</v>
      </c>
      <c r="F65" s="0" t="n">
        <v>0</v>
      </c>
      <c r="G65" s="0" t="n">
        <v>2500</v>
      </c>
      <c r="H65" s="0" t="s">
        <v>262</v>
      </c>
      <c r="I65" s="0" t="s">
        <v>263</v>
      </c>
      <c r="J65" s="0" t="n">
        <f aca="false">+G65-((+F65*G65)/100)</f>
        <v>2500</v>
      </c>
    </row>
    <row r="66" customFormat="false" ht="15" hidden="false" customHeight="false" outlineLevel="0" collapsed="false">
      <c r="A66" s="0" t="s">
        <v>9</v>
      </c>
      <c r="B66" s="0" t="s">
        <v>264</v>
      </c>
      <c r="C66" s="0" t="s">
        <v>265</v>
      </c>
      <c r="D66" s="0" t="s">
        <v>266</v>
      </c>
      <c r="E66" s="0" t="n">
        <f aca="false">+J66</f>
        <v>4080</v>
      </c>
      <c r="F66" s="0" t="n">
        <v>15</v>
      </c>
      <c r="G66" s="0" t="n">
        <v>4800</v>
      </c>
      <c r="H66" s="0" t="s">
        <v>267</v>
      </c>
      <c r="I66" s="0" t="s">
        <v>268</v>
      </c>
      <c r="J66" s="0" t="n">
        <f aca="false">+G66-((+F66*G66)/100)</f>
        <v>4080</v>
      </c>
    </row>
    <row r="67" customFormat="false" ht="15" hidden="false" customHeight="false" outlineLevel="0" collapsed="false">
      <c r="A67" s="0" t="s">
        <v>9</v>
      </c>
      <c r="B67" s="0" t="s">
        <v>264</v>
      </c>
      <c r="C67" s="0" t="s">
        <v>269</v>
      </c>
      <c r="D67" s="0" t="s">
        <v>270</v>
      </c>
      <c r="E67" s="0" t="n">
        <f aca="false">+J67</f>
        <v>3825</v>
      </c>
      <c r="F67" s="0" t="n">
        <v>15</v>
      </c>
      <c r="G67" s="0" t="n">
        <v>4500</v>
      </c>
      <c r="H67" s="0" t="s">
        <v>271</v>
      </c>
      <c r="I67" s="0" t="s">
        <v>272</v>
      </c>
      <c r="J67" s="0" t="n">
        <f aca="false">+G67-((+F67*G67)/100)</f>
        <v>3825</v>
      </c>
    </row>
    <row r="68" customFormat="false" ht="15" hidden="false" customHeight="false" outlineLevel="0" collapsed="false">
      <c r="A68" s="0" t="s">
        <v>9</v>
      </c>
      <c r="B68" s="0" t="s">
        <v>264</v>
      </c>
      <c r="C68" s="0" t="s">
        <v>273</v>
      </c>
      <c r="D68" s="0" t="s">
        <v>274</v>
      </c>
      <c r="E68" s="0" t="n">
        <f aca="false">+J68</f>
        <v>5950</v>
      </c>
      <c r="F68" s="0" t="n">
        <v>15</v>
      </c>
      <c r="G68" s="0" t="n">
        <v>7000</v>
      </c>
      <c r="H68" s="0" t="s">
        <v>275</v>
      </c>
      <c r="I68" s="0" t="s">
        <v>276</v>
      </c>
      <c r="J68" s="0" t="n">
        <f aca="false">+G68-((+F68*G68)/100)</f>
        <v>5950</v>
      </c>
    </row>
    <row r="69" customFormat="false" ht="15" hidden="false" customHeight="false" outlineLevel="0" collapsed="false">
      <c r="A69" s="0" t="s">
        <v>9</v>
      </c>
      <c r="B69" s="0" t="s">
        <v>264</v>
      </c>
      <c r="C69" s="0" t="s">
        <v>277</v>
      </c>
      <c r="D69" s="0" t="s">
        <v>278</v>
      </c>
      <c r="E69" s="0" t="n">
        <f aca="false">+J69</f>
        <v>4080</v>
      </c>
      <c r="F69" s="0" t="n">
        <v>15</v>
      </c>
      <c r="G69" s="0" t="n">
        <v>4800</v>
      </c>
      <c r="H69" s="0" t="s">
        <v>250</v>
      </c>
      <c r="I69" s="0" t="s">
        <v>279</v>
      </c>
      <c r="J69" s="0" t="n">
        <f aca="false">+G69-((+F69*G69)/100)</f>
        <v>4080</v>
      </c>
    </row>
    <row r="70" customFormat="false" ht="15" hidden="false" customHeight="false" outlineLevel="0" collapsed="false">
      <c r="A70" s="0" t="s">
        <v>9</v>
      </c>
      <c r="B70" s="0" t="s">
        <v>264</v>
      </c>
      <c r="C70" s="0" t="s">
        <v>280</v>
      </c>
      <c r="D70" s="0" t="s">
        <v>281</v>
      </c>
      <c r="E70" s="0" t="n">
        <f aca="false">+J70</f>
        <v>5525</v>
      </c>
      <c r="F70" s="0" t="n">
        <v>15</v>
      </c>
      <c r="G70" s="0" t="n">
        <v>6500</v>
      </c>
      <c r="H70" s="0" t="s">
        <v>271</v>
      </c>
      <c r="I70" s="0" t="s">
        <v>282</v>
      </c>
      <c r="J70" s="0" t="n">
        <f aca="false">+G70-((+F70*G70)/100)</f>
        <v>5525</v>
      </c>
    </row>
    <row r="71" customFormat="false" ht="15" hidden="false" customHeight="false" outlineLevel="0" collapsed="false">
      <c r="A71" s="0" t="s">
        <v>9</v>
      </c>
      <c r="B71" s="0" t="s">
        <v>283</v>
      </c>
      <c r="C71" s="0" t="s">
        <v>284</v>
      </c>
      <c r="D71" s="0" t="s">
        <v>285</v>
      </c>
      <c r="E71" s="0" t="n">
        <f aca="false">+J71</f>
        <v>1200</v>
      </c>
      <c r="F71" s="0" t="n">
        <v>0</v>
      </c>
      <c r="G71" s="0" t="n">
        <v>1200</v>
      </c>
      <c r="H71" s="0" t="s">
        <v>267</v>
      </c>
      <c r="I71" s="0" t="s">
        <v>286</v>
      </c>
      <c r="J71" s="0" t="n">
        <f aca="false">+G71-((+F71*G71)/100)</f>
        <v>1200</v>
      </c>
    </row>
    <row r="72" customFormat="false" ht="15" hidden="false" customHeight="false" outlineLevel="0" collapsed="false">
      <c r="A72" s="0" t="s">
        <v>9</v>
      </c>
      <c r="B72" s="0" t="s">
        <v>283</v>
      </c>
      <c r="C72" s="0" t="s">
        <v>287</v>
      </c>
      <c r="D72" s="0" t="s">
        <v>288</v>
      </c>
      <c r="E72" s="0" t="n">
        <f aca="false">+J72</f>
        <v>10800</v>
      </c>
      <c r="F72" s="0" t="n">
        <v>10</v>
      </c>
      <c r="G72" s="0" t="n">
        <v>12000</v>
      </c>
      <c r="H72" s="0" t="s">
        <v>267</v>
      </c>
      <c r="I72" s="0" t="s">
        <v>286</v>
      </c>
      <c r="J72" s="0" t="n">
        <f aca="false">+G72-((+F72*G72)/100)</f>
        <v>10800</v>
      </c>
    </row>
    <row r="73" customFormat="false" ht="15" hidden="false" customHeight="false" outlineLevel="0" collapsed="false">
      <c r="A73" s="0" t="s">
        <v>9</v>
      </c>
      <c r="B73" s="0" t="s">
        <v>283</v>
      </c>
      <c r="C73" s="0" t="s">
        <v>289</v>
      </c>
      <c r="D73" s="0" t="s">
        <v>290</v>
      </c>
      <c r="E73" s="0" t="n">
        <f aca="false">+J73</f>
        <v>1800</v>
      </c>
      <c r="F73" s="0" t="n">
        <v>0</v>
      </c>
      <c r="G73" s="0" t="n">
        <v>1800</v>
      </c>
      <c r="H73" s="0" t="s">
        <v>225</v>
      </c>
      <c r="I73" s="0" t="s">
        <v>291</v>
      </c>
      <c r="J73" s="0" t="n">
        <f aca="false">+G73-((+F73*G73)/100)</f>
        <v>1800</v>
      </c>
    </row>
    <row r="74" customFormat="false" ht="15" hidden="false" customHeight="false" outlineLevel="0" collapsed="false">
      <c r="A74" s="0" t="s">
        <v>9</v>
      </c>
      <c r="B74" s="0" t="s">
        <v>283</v>
      </c>
      <c r="C74" s="0" t="s">
        <v>292</v>
      </c>
      <c r="D74" s="0" t="s">
        <v>293</v>
      </c>
      <c r="E74" s="0" t="n">
        <f aca="false">+J74</f>
        <v>1600</v>
      </c>
      <c r="F74" s="0" t="n">
        <v>0</v>
      </c>
      <c r="G74" s="0" t="n">
        <v>1600</v>
      </c>
      <c r="H74" s="0" t="s">
        <v>225</v>
      </c>
      <c r="I74" s="0" t="s">
        <v>294</v>
      </c>
      <c r="J74" s="0" t="n">
        <f aca="false">+G74-((+F74*G74)/100)</f>
        <v>1600</v>
      </c>
    </row>
    <row r="75" customFormat="false" ht="15" hidden="false" customHeight="false" outlineLevel="0" collapsed="false">
      <c r="A75" s="0" t="s">
        <v>9</v>
      </c>
      <c r="B75" s="0" t="s">
        <v>283</v>
      </c>
      <c r="C75" s="0" t="s">
        <v>295</v>
      </c>
      <c r="D75" s="0" t="s">
        <v>296</v>
      </c>
      <c r="E75" s="0" t="n">
        <f aca="false">+J75</f>
        <v>5500</v>
      </c>
      <c r="F75" s="0" t="n">
        <v>0</v>
      </c>
      <c r="G75" s="0" t="n">
        <v>5500</v>
      </c>
      <c r="H75" s="0" t="s">
        <v>271</v>
      </c>
      <c r="I75" s="0" t="s">
        <v>297</v>
      </c>
      <c r="J75" s="0" t="n">
        <f aca="false">+G75-((+F75*G75)/100)</f>
        <v>5500</v>
      </c>
    </row>
    <row r="76" customFormat="false" ht="15" hidden="false" customHeight="false" outlineLevel="0" collapsed="false">
      <c r="A76" s="0" t="s">
        <v>9</v>
      </c>
      <c r="B76" s="0" t="s">
        <v>283</v>
      </c>
      <c r="C76" s="0" t="s">
        <v>298</v>
      </c>
      <c r="D76" s="0" t="s">
        <v>299</v>
      </c>
      <c r="E76" s="0" t="n">
        <f aca="false">+J76</f>
        <v>3500</v>
      </c>
      <c r="F76" s="0" t="n">
        <v>0</v>
      </c>
      <c r="G76" s="0" t="n">
        <v>3500</v>
      </c>
      <c r="H76" s="0" t="s">
        <v>225</v>
      </c>
      <c r="I76" s="0" t="s">
        <v>300</v>
      </c>
      <c r="J76" s="0" t="n">
        <f aca="false">+G76-((+F76*G76)/100)</f>
        <v>3500</v>
      </c>
    </row>
    <row r="77" customFormat="false" ht="15" hidden="false" customHeight="false" outlineLevel="0" collapsed="false">
      <c r="A77" s="0" t="s">
        <v>9</v>
      </c>
      <c r="B77" s="0" t="s">
        <v>301</v>
      </c>
      <c r="C77" s="0" t="s">
        <v>302</v>
      </c>
      <c r="D77" s="0" t="s">
        <v>303</v>
      </c>
      <c r="E77" s="0" t="n">
        <f aca="false">+J77</f>
        <v>4500</v>
      </c>
      <c r="F77" s="0" t="n">
        <v>0</v>
      </c>
      <c r="G77" s="0" t="n">
        <v>4500</v>
      </c>
      <c r="H77" s="0" t="s">
        <v>304</v>
      </c>
      <c r="I77" s="0" t="s">
        <v>305</v>
      </c>
      <c r="J77" s="0" t="n">
        <f aca="false">+G77-((+F77*G77)/100)</f>
        <v>4500</v>
      </c>
    </row>
    <row r="78" customFormat="false" ht="15" hidden="false" customHeight="false" outlineLevel="0" collapsed="false">
      <c r="A78" s="0" t="s">
        <v>9</v>
      </c>
      <c r="B78" s="0" t="s">
        <v>301</v>
      </c>
      <c r="C78" s="0" t="s">
        <v>306</v>
      </c>
      <c r="D78" s="0" t="s">
        <v>307</v>
      </c>
      <c r="E78" s="0" t="n">
        <f aca="false">+J78</f>
        <v>4800</v>
      </c>
      <c r="F78" s="0" t="n">
        <v>0</v>
      </c>
      <c r="G78" s="0" t="n">
        <v>4800</v>
      </c>
      <c r="H78" s="0" t="s">
        <v>304</v>
      </c>
      <c r="I78" s="0" t="s">
        <v>308</v>
      </c>
      <c r="J78" s="0" t="n">
        <f aca="false">+G78-((+F78*G78)/100)</f>
        <v>4800</v>
      </c>
    </row>
    <row r="79" customFormat="false" ht="15" hidden="false" customHeight="false" outlineLevel="0" collapsed="false">
      <c r="A79" s="0" t="s">
        <v>9</v>
      </c>
      <c r="B79" s="0" t="s">
        <v>301</v>
      </c>
      <c r="C79" s="0" t="s">
        <v>309</v>
      </c>
      <c r="D79" s="0" t="s">
        <v>310</v>
      </c>
      <c r="E79" s="0" t="n">
        <f aca="false">+J79</f>
        <v>5200</v>
      </c>
      <c r="F79" s="0" t="n">
        <v>0</v>
      </c>
      <c r="G79" s="0" t="n">
        <v>5200</v>
      </c>
      <c r="H79" s="0" t="s">
        <v>311</v>
      </c>
      <c r="I79" s="0" t="s">
        <v>312</v>
      </c>
      <c r="J79" s="0" t="n">
        <f aca="false">+G79-((+F79*G79)/100)</f>
        <v>5200</v>
      </c>
    </row>
    <row r="80" customFormat="false" ht="15" hidden="false" customHeight="false" outlineLevel="0" collapsed="false">
      <c r="A80" s="0" t="s">
        <v>9</v>
      </c>
      <c r="B80" s="0" t="s">
        <v>301</v>
      </c>
      <c r="C80" s="0" t="s">
        <v>313</v>
      </c>
      <c r="D80" s="0" t="s">
        <v>314</v>
      </c>
      <c r="E80" s="0" t="n">
        <f aca="false">+J80</f>
        <v>4500</v>
      </c>
      <c r="F80" s="0" t="n">
        <v>0</v>
      </c>
      <c r="G80" s="0" t="n">
        <v>4500</v>
      </c>
      <c r="H80" s="0" t="s">
        <v>315</v>
      </c>
      <c r="I80" s="0" t="s">
        <v>316</v>
      </c>
      <c r="J80" s="0" t="n">
        <f aca="false">+G80-((+F80*G80)/100)</f>
        <v>4500</v>
      </c>
    </row>
    <row r="81" customFormat="false" ht="15" hidden="false" customHeight="false" outlineLevel="0" collapsed="false">
      <c r="A81" s="0" t="s">
        <v>9</v>
      </c>
      <c r="B81" s="0" t="s">
        <v>301</v>
      </c>
      <c r="C81" s="0" t="s">
        <v>317</v>
      </c>
      <c r="D81" s="0" t="s">
        <v>318</v>
      </c>
      <c r="E81" s="0" t="n">
        <f aca="false">+J81</f>
        <v>5000</v>
      </c>
      <c r="F81" s="0" t="n">
        <v>0</v>
      </c>
      <c r="G81" s="0" t="n">
        <v>5000</v>
      </c>
      <c r="H81" s="0" t="s">
        <v>319</v>
      </c>
      <c r="I81" s="0" t="s">
        <v>320</v>
      </c>
      <c r="J81" s="0" t="n">
        <f aca="false">+G81-((+F81*G81)/100)</f>
        <v>5000</v>
      </c>
    </row>
    <row r="82" customFormat="false" ht="15" hidden="false" customHeight="false" outlineLevel="0" collapsed="false">
      <c r="A82" s="0" t="s">
        <v>9</v>
      </c>
      <c r="B82" s="0" t="s">
        <v>321</v>
      </c>
      <c r="C82" s="0" t="s">
        <v>322</v>
      </c>
      <c r="D82" s="0" t="s">
        <v>323</v>
      </c>
      <c r="E82" s="0" t="n">
        <f aca="false">+J82</f>
        <v>3500</v>
      </c>
      <c r="F82" s="0" t="n">
        <v>0</v>
      </c>
      <c r="G82" s="0" t="n">
        <v>3500</v>
      </c>
      <c r="H82" s="0" t="s">
        <v>324</v>
      </c>
      <c r="I82" s="0" t="s">
        <v>325</v>
      </c>
      <c r="J82" s="0" t="n">
        <f aca="false">+G82-((+F82*G82)/100)</f>
        <v>3500</v>
      </c>
    </row>
    <row r="83" customFormat="false" ht="15" hidden="false" customHeight="false" outlineLevel="0" collapsed="false">
      <c r="A83" s="0" t="s">
        <v>9</v>
      </c>
      <c r="B83" s="0" t="s">
        <v>321</v>
      </c>
      <c r="C83" s="0" t="s">
        <v>326</v>
      </c>
      <c r="D83" s="0" t="s">
        <v>327</v>
      </c>
      <c r="E83" s="0" t="n">
        <f aca="false">+J83</f>
        <v>2000</v>
      </c>
      <c r="F83" s="0" t="n">
        <v>0</v>
      </c>
      <c r="G83" s="0" t="n">
        <v>2000</v>
      </c>
      <c r="H83" s="0" t="s">
        <v>328</v>
      </c>
      <c r="I83" s="0" t="s">
        <v>329</v>
      </c>
      <c r="J83" s="0" t="n">
        <f aca="false">+G83-((+F83*G83)/100)</f>
        <v>2000</v>
      </c>
    </row>
    <row r="84" customFormat="false" ht="15" hidden="false" customHeight="false" outlineLevel="0" collapsed="false">
      <c r="A84" s="0" t="s">
        <v>9</v>
      </c>
      <c r="B84" s="0" t="s">
        <v>321</v>
      </c>
      <c r="C84" s="0" t="s">
        <v>330</v>
      </c>
      <c r="D84" s="0" t="s">
        <v>331</v>
      </c>
      <c r="E84" s="0" t="n">
        <f aca="false">+J84</f>
        <v>1500</v>
      </c>
      <c r="F84" s="0" t="n">
        <v>0</v>
      </c>
      <c r="G84" s="0" t="n">
        <v>1500</v>
      </c>
      <c r="H84" s="0" t="s">
        <v>332</v>
      </c>
      <c r="I84" s="0" t="s">
        <v>333</v>
      </c>
      <c r="J84" s="0" t="n">
        <f aca="false">+G84-((+F84*G84)/100)</f>
        <v>1500</v>
      </c>
    </row>
    <row r="85" customFormat="false" ht="15" hidden="false" customHeight="false" outlineLevel="0" collapsed="false">
      <c r="A85" s="0" t="s">
        <v>9</v>
      </c>
      <c r="B85" s="0" t="s">
        <v>321</v>
      </c>
      <c r="C85" s="0" t="s">
        <v>334</v>
      </c>
      <c r="D85" s="0" t="s">
        <v>335</v>
      </c>
      <c r="E85" s="0" t="n">
        <f aca="false">+J85</f>
        <v>3500</v>
      </c>
      <c r="F85" s="0" t="n">
        <v>0</v>
      </c>
      <c r="G85" s="0" t="n">
        <v>3500</v>
      </c>
      <c r="H85" s="0" t="s">
        <v>336</v>
      </c>
      <c r="I85" s="0" t="s">
        <v>337</v>
      </c>
      <c r="J85" s="0" t="n">
        <f aca="false">+G85-((+F85*G85)/100)</f>
        <v>3500</v>
      </c>
    </row>
    <row r="86" customFormat="false" ht="15" hidden="false" customHeight="false" outlineLevel="0" collapsed="false">
      <c r="A86" s="0" t="s">
        <v>9</v>
      </c>
      <c r="B86" s="0" t="s">
        <v>321</v>
      </c>
      <c r="C86" s="0" t="s">
        <v>338</v>
      </c>
      <c r="D86" s="0" t="s">
        <v>339</v>
      </c>
      <c r="E86" s="0" t="n">
        <f aca="false">+J86</f>
        <v>2000</v>
      </c>
      <c r="F86" s="0" t="n">
        <v>0</v>
      </c>
      <c r="G86" s="0" t="n">
        <v>2000</v>
      </c>
      <c r="H86" s="0" t="s">
        <v>324</v>
      </c>
      <c r="I86" s="0" t="s">
        <v>340</v>
      </c>
      <c r="J86" s="0" t="n">
        <f aca="false">+G86-((+F86*G86)/100)</f>
        <v>2000</v>
      </c>
    </row>
    <row r="87" customFormat="false" ht="15" hidden="false" customHeight="false" outlineLevel="0" collapsed="false">
      <c r="A87" s="0" t="s">
        <v>9</v>
      </c>
      <c r="B87" s="0" t="s">
        <v>321</v>
      </c>
      <c r="C87" s="0" t="s">
        <v>341</v>
      </c>
      <c r="D87" s="0" t="s">
        <v>342</v>
      </c>
      <c r="E87" s="0" t="n">
        <f aca="false">+J87</f>
        <v>3500</v>
      </c>
      <c r="F87" s="0" t="n">
        <v>0</v>
      </c>
      <c r="G87" s="0" t="n">
        <v>3500</v>
      </c>
      <c r="H87" s="0" t="s">
        <v>343</v>
      </c>
      <c r="I87" s="0" t="s">
        <v>344</v>
      </c>
      <c r="J87" s="0" t="n">
        <f aca="false">+G87-((+F87*G87)/100)</f>
        <v>3500</v>
      </c>
    </row>
    <row r="88" customFormat="false" ht="15" hidden="false" customHeight="false" outlineLevel="0" collapsed="false">
      <c r="A88" s="0" t="s">
        <v>9</v>
      </c>
      <c r="B88" s="0" t="s">
        <v>321</v>
      </c>
      <c r="C88" s="0" t="s">
        <v>345</v>
      </c>
      <c r="D88" s="0" t="s">
        <v>346</v>
      </c>
      <c r="E88" s="0" t="n">
        <f aca="false">+J88</f>
        <v>4500</v>
      </c>
      <c r="F88" s="0" t="n">
        <v>0</v>
      </c>
      <c r="G88" s="0" t="n">
        <v>4500</v>
      </c>
      <c r="H88" s="0" t="s">
        <v>347</v>
      </c>
      <c r="I88" s="0" t="s">
        <v>348</v>
      </c>
      <c r="J88" s="0" t="n">
        <f aca="false">+G88-((+F88*G88)/100)</f>
        <v>4500</v>
      </c>
    </row>
    <row r="89" customFormat="false" ht="15" hidden="false" customHeight="false" outlineLevel="0" collapsed="false">
      <c r="A89" s="0" t="s">
        <v>9</v>
      </c>
      <c r="B89" s="0" t="s">
        <v>321</v>
      </c>
      <c r="C89" s="0" t="s">
        <v>349</v>
      </c>
      <c r="D89" s="0" t="s">
        <v>350</v>
      </c>
      <c r="E89" s="0" t="n">
        <f aca="false">+J89</f>
        <v>5500</v>
      </c>
      <c r="F89" s="0" t="n">
        <v>0</v>
      </c>
      <c r="G89" s="0" t="n">
        <v>5500</v>
      </c>
      <c r="H89" s="0" t="s">
        <v>351</v>
      </c>
      <c r="I89" s="0" t="s">
        <v>352</v>
      </c>
      <c r="J89" s="0" t="n">
        <f aca="false">+G89-((+F89*G89)/100)</f>
        <v>5500</v>
      </c>
    </row>
    <row r="90" customFormat="false" ht="15" hidden="false" customHeight="false" outlineLevel="0" collapsed="false">
      <c r="A90" s="0" t="s">
        <v>9</v>
      </c>
      <c r="B90" s="0" t="s">
        <v>321</v>
      </c>
      <c r="C90" s="0" t="s">
        <v>353</v>
      </c>
      <c r="D90" s="0" t="s">
        <v>354</v>
      </c>
      <c r="E90" s="0" t="n">
        <f aca="false">+J90</f>
        <v>7500</v>
      </c>
      <c r="F90" s="0" t="n">
        <v>0</v>
      </c>
      <c r="G90" s="0" t="n">
        <v>7500</v>
      </c>
      <c r="H90" s="0" t="s">
        <v>355</v>
      </c>
      <c r="I90" s="0" t="s">
        <v>356</v>
      </c>
      <c r="J90" s="0" t="n">
        <f aca="false">+G90-((+F90*G90)/100)</f>
        <v>7500</v>
      </c>
    </row>
    <row r="91" customFormat="false" ht="15" hidden="false" customHeight="false" outlineLevel="0" collapsed="false">
      <c r="A91" s="0" t="s">
        <v>9</v>
      </c>
      <c r="B91" s="0" t="s">
        <v>321</v>
      </c>
      <c r="C91" s="0" t="s">
        <v>357</v>
      </c>
      <c r="D91" s="0" t="s">
        <v>358</v>
      </c>
      <c r="E91" s="0" t="n">
        <f aca="false">+J91</f>
        <v>3000</v>
      </c>
      <c r="F91" s="0" t="n">
        <v>0</v>
      </c>
      <c r="G91" s="0" t="n">
        <v>3000</v>
      </c>
      <c r="H91" s="0" t="s">
        <v>359</v>
      </c>
      <c r="I91" s="0" t="s">
        <v>360</v>
      </c>
      <c r="J91" s="0" t="n">
        <f aca="false">+G91-((+F91*G91)/100)</f>
        <v>3000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2026-08-30T06:16:43Z</dcterms:modified>
  <cp:revision>1</cp:revision>
  <dc:subject/>
  <dc:title/>
</cp:coreProperties>
</file>